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GDP-Group10-Team-CI/Shared Documents/General/04. Simulation/"/>
    </mc:Choice>
  </mc:AlternateContent>
  <xr:revisionPtr revIDLastSave="383" documentId="13_ncr:1_{483B65DA-19E3-084B-A492-3B808C1E1FB0}" xr6:coauthVersionLast="47" xr6:coauthVersionMax="47" xr10:uidLastSave="{0D0800A8-0E99-314C-A170-04B553F29A63}"/>
  <bookViews>
    <workbookView xWindow="0" yWindow="660" windowWidth="30240" windowHeight="17720" xr2:uid="{3B19CE4F-B3D4-8640-B311-A2F7FD1704CB}"/>
  </bookViews>
  <sheets>
    <sheet name="Freight" sheetId="1" r:id="rId1"/>
    <sheet name="Local Traffic" sheetId="2" r:id="rId2"/>
    <sheet name="Baseline 2022 Traffi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7" i="1" l="1"/>
  <c r="K47" i="1"/>
  <c r="M47" i="1" s="1"/>
  <c r="J47" i="1"/>
  <c r="I47" i="1"/>
  <c r="L46" i="1"/>
  <c r="K46" i="1"/>
  <c r="J46" i="1"/>
  <c r="I46" i="1"/>
  <c r="M46" i="1" s="1"/>
  <c r="L45" i="1"/>
  <c r="K45" i="1"/>
  <c r="M45" i="1" s="1"/>
  <c r="J45" i="1"/>
  <c r="I45" i="1"/>
  <c r="L44" i="1"/>
  <c r="L48" i="1" s="1"/>
  <c r="K44" i="1"/>
  <c r="K48" i="1" s="1"/>
  <c r="J44" i="1"/>
  <c r="J48" i="1" s="1"/>
  <c r="I44" i="1"/>
  <c r="M44" i="1" s="1"/>
  <c r="B45" i="1"/>
  <c r="C45" i="1"/>
  <c r="D45" i="1"/>
  <c r="E45" i="1"/>
  <c r="F45" i="1" s="1"/>
  <c r="B46" i="1"/>
  <c r="F46" i="1" s="1"/>
  <c r="C46" i="1"/>
  <c r="D46" i="1"/>
  <c r="E46" i="1"/>
  <c r="E48" i="1" s="1"/>
  <c r="B47" i="1"/>
  <c r="F47" i="1" s="1"/>
  <c r="C47" i="1"/>
  <c r="C48" i="1" s="1"/>
  <c r="D47" i="1"/>
  <c r="E47" i="1"/>
  <c r="C44" i="1"/>
  <c r="D44" i="1"/>
  <c r="E44" i="1"/>
  <c r="B44" i="1"/>
  <c r="D48" i="1"/>
  <c r="B48" i="1"/>
  <c r="F44" i="1"/>
  <c r="J37" i="3"/>
  <c r="I37" i="3"/>
  <c r="H37" i="3"/>
  <c r="J36" i="3"/>
  <c r="I36" i="3"/>
  <c r="H36" i="3"/>
  <c r="J35" i="3"/>
  <c r="I35" i="3"/>
  <c r="H35" i="3"/>
  <c r="J29" i="3"/>
  <c r="I29" i="3"/>
  <c r="H29" i="3"/>
  <c r="J28" i="3"/>
  <c r="I28" i="3"/>
  <c r="H28" i="3"/>
  <c r="J27" i="3"/>
  <c r="I27" i="3"/>
  <c r="H27" i="3"/>
  <c r="J21" i="3"/>
  <c r="I21" i="3"/>
  <c r="H21" i="3"/>
  <c r="J20" i="3"/>
  <c r="I20" i="3"/>
  <c r="H20" i="3"/>
  <c r="J19" i="3"/>
  <c r="I19" i="3"/>
  <c r="H19" i="3"/>
  <c r="J13" i="3"/>
  <c r="I13" i="3"/>
  <c r="H13" i="3"/>
  <c r="J12" i="3"/>
  <c r="I12" i="3"/>
  <c r="H12" i="3"/>
  <c r="J11" i="3"/>
  <c r="I11" i="3"/>
  <c r="H11" i="3"/>
  <c r="H4" i="3"/>
  <c r="I4" i="3"/>
  <c r="J4" i="3"/>
  <c r="H5" i="3"/>
  <c r="K5" i="3" s="1"/>
  <c r="I5" i="3"/>
  <c r="J5" i="3"/>
  <c r="I3" i="3"/>
  <c r="J3" i="3"/>
  <c r="H3" i="3"/>
  <c r="D38" i="3"/>
  <c r="C38" i="3"/>
  <c r="B38" i="3"/>
  <c r="E37" i="3"/>
  <c r="E36" i="3"/>
  <c r="E35" i="3"/>
  <c r="D30" i="3"/>
  <c r="C30" i="3"/>
  <c r="B30" i="3"/>
  <c r="E29" i="3"/>
  <c r="E28" i="3"/>
  <c r="E27" i="3"/>
  <c r="D22" i="3"/>
  <c r="C22" i="3"/>
  <c r="B22" i="3"/>
  <c r="E21" i="3"/>
  <c r="E20" i="3"/>
  <c r="E19" i="3"/>
  <c r="D14" i="3"/>
  <c r="C14" i="3"/>
  <c r="B14" i="3"/>
  <c r="E13" i="3"/>
  <c r="E12" i="3"/>
  <c r="E11" i="3"/>
  <c r="C6" i="3"/>
  <c r="D6" i="3"/>
  <c r="B6" i="3"/>
  <c r="E4" i="3"/>
  <c r="E5" i="3"/>
  <c r="E3" i="3"/>
  <c r="I35" i="1"/>
  <c r="J35" i="1"/>
  <c r="K35" i="1"/>
  <c r="L35" i="1"/>
  <c r="I36" i="1"/>
  <c r="J36" i="1"/>
  <c r="K36" i="1"/>
  <c r="L36" i="1"/>
  <c r="I37" i="1"/>
  <c r="J37" i="1"/>
  <c r="K37" i="1"/>
  <c r="L37" i="1"/>
  <c r="J34" i="1"/>
  <c r="K34" i="1"/>
  <c r="L34" i="1"/>
  <c r="I34" i="1"/>
  <c r="I26" i="1"/>
  <c r="I27" i="1"/>
  <c r="I28" i="1"/>
  <c r="J26" i="1"/>
  <c r="K26" i="1"/>
  <c r="L26" i="1"/>
  <c r="J27" i="1"/>
  <c r="K27" i="1"/>
  <c r="L27" i="1"/>
  <c r="J28" i="1"/>
  <c r="K28" i="1"/>
  <c r="L28" i="1"/>
  <c r="K25" i="1"/>
  <c r="L25" i="1"/>
  <c r="J25" i="1"/>
  <c r="I25" i="1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I4" i="2"/>
  <c r="J4" i="2"/>
  <c r="K4" i="2"/>
  <c r="L4" i="2"/>
  <c r="I5" i="2"/>
  <c r="J5" i="2"/>
  <c r="K5" i="2"/>
  <c r="L5" i="2"/>
  <c r="I6" i="2"/>
  <c r="J6" i="2"/>
  <c r="K6" i="2"/>
  <c r="L6" i="2"/>
  <c r="J3" i="2"/>
  <c r="K3" i="2"/>
  <c r="L3" i="2"/>
  <c r="I3" i="2"/>
  <c r="E38" i="1"/>
  <c r="D38" i="1"/>
  <c r="C38" i="1"/>
  <c r="B38" i="1"/>
  <c r="F37" i="1"/>
  <c r="F36" i="1"/>
  <c r="F35" i="1"/>
  <c r="F34" i="1"/>
  <c r="E29" i="1"/>
  <c r="D29" i="1"/>
  <c r="C29" i="1"/>
  <c r="B29" i="1"/>
  <c r="F28" i="1"/>
  <c r="F27" i="1"/>
  <c r="F26" i="1"/>
  <c r="F25" i="1"/>
  <c r="E25" i="2"/>
  <c r="D25" i="2"/>
  <c r="C25" i="2"/>
  <c r="B25" i="2"/>
  <c r="F24" i="2"/>
  <c r="F23" i="2"/>
  <c r="F22" i="2"/>
  <c r="F21" i="2"/>
  <c r="E16" i="2"/>
  <c r="D16" i="2"/>
  <c r="C16" i="2"/>
  <c r="B16" i="2"/>
  <c r="F15" i="2"/>
  <c r="F14" i="2"/>
  <c r="F13" i="2"/>
  <c r="F12" i="2"/>
  <c r="F3" i="2"/>
  <c r="F4" i="2"/>
  <c r="F5" i="2"/>
  <c r="F6" i="2"/>
  <c r="B7" i="2"/>
  <c r="C7" i="2"/>
  <c r="D7" i="2"/>
  <c r="E7" i="2"/>
  <c r="C20" i="1"/>
  <c r="D20" i="1"/>
  <c r="E20" i="1"/>
  <c r="B20" i="1"/>
  <c r="F17" i="1"/>
  <c r="F18" i="1"/>
  <c r="F19" i="1"/>
  <c r="F16" i="1"/>
  <c r="B3" i="1"/>
  <c r="M48" i="1" l="1"/>
  <c r="I48" i="1"/>
  <c r="F48" i="1"/>
  <c r="K37" i="3"/>
  <c r="J38" i="3"/>
  <c r="I38" i="3"/>
  <c r="K36" i="3"/>
  <c r="K35" i="3"/>
  <c r="K29" i="3"/>
  <c r="K28" i="3"/>
  <c r="I30" i="3"/>
  <c r="J30" i="3"/>
  <c r="K27" i="3"/>
  <c r="H30" i="3"/>
  <c r="J22" i="3"/>
  <c r="K20" i="3"/>
  <c r="H22" i="3"/>
  <c r="I22" i="3"/>
  <c r="K22" i="3" s="1"/>
  <c r="K21" i="3"/>
  <c r="K12" i="3"/>
  <c r="J14" i="3"/>
  <c r="K11" i="3"/>
  <c r="K13" i="3"/>
  <c r="J6" i="3"/>
  <c r="E6" i="3"/>
  <c r="K4" i="3"/>
  <c r="K3" i="3"/>
  <c r="I6" i="3"/>
  <c r="K25" i="2"/>
  <c r="M24" i="2"/>
  <c r="M23" i="2"/>
  <c r="L25" i="2"/>
  <c r="M22" i="2"/>
  <c r="J16" i="2"/>
  <c r="M15" i="2"/>
  <c r="M13" i="2"/>
  <c r="M12" i="2"/>
  <c r="K7" i="2"/>
  <c r="M4" i="2"/>
  <c r="J7" i="2"/>
  <c r="M5" i="2"/>
  <c r="L7" i="2"/>
  <c r="M14" i="2"/>
  <c r="K16" i="2"/>
  <c r="L16" i="2"/>
  <c r="M21" i="2"/>
  <c r="J25" i="2"/>
  <c r="L38" i="1"/>
  <c r="I38" i="1"/>
  <c r="L29" i="1"/>
  <c r="M26" i="1"/>
  <c r="H38" i="3"/>
  <c r="K38" i="3" s="1"/>
  <c r="K19" i="3"/>
  <c r="I14" i="3"/>
  <c r="H14" i="3"/>
  <c r="H6" i="3"/>
  <c r="E38" i="3"/>
  <c r="E30" i="3"/>
  <c r="E22" i="3"/>
  <c r="E14" i="3"/>
  <c r="M28" i="1"/>
  <c r="M37" i="1"/>
  <c r="M27" i="1"/>
  <c r="M36" i="1"/>
  <c r="K29" i="1"/>
  <c r="K38" i="1"/>
  <c r="J29" i="1"/>
  <c r="J38" i="1"/>
  <c r="I29" i="1"/>
  <c r="M35" i="1"/>
  <c r="M34" i="1"/>
  <c r="M25" i="1"/>
  <c r="I25" i="2"/>
  <c r="I16" i="2"/>
  <c r="M6" i="2"/>
  <c r="I7" i="2"/>
  <c r="M3" i="2"/>
  <c r="F20" i="1"/>
  <c r="F38" i="1"/>
  <c r="F29" i="1"/>
  <c r="F25" i="2"/>
  <c r="F16" i="2"/>
  <c r="F7" i="2"/>
  <c r="K30" i="3" l="1"/>
  <c r="K14" i="3"/>
  <c r="K6" i="3"/>
  <c r="M25" i="2"/>
  <c r="M16" i="2"/>
  <c r="M7" i="2"/>
  <c r="M38" i="1"/>
  <c r="M29" i="1"/>
</calcChain>
</file>

<file path=xl/sharedStrings.xml><?xml version="1.0" encoding="utf-8"?>
<sst xmlns="http://schemas.openxmlformats.org/spreadsheetml/2006/main" count="269" uniqueCount="30">
  <si>
    <t>Total container movements</t>
  </si>
  <si>
    <t>Total bulk/liquid/general</t>
  </si>
  <si>
    <t>TOTAL</t>
  </si>
  <si>
    <t>Daily truck movements</t>
  </si>
  <si>
    <t>North/South Split</t>
  </si>
  <si>
    <t>70/30</t>
  </si>
  <si>
    <t>Trailer/Truck split</t>
  </si>
  <si>
    <t>50/50</t>
  </si>
  <si>
    <t>Chattogram Port</t>
  </si>
  <si>
    <t>Bay Terminal</t>
  </si>
  <si>
    <t>South Ports</t>
  </si>
  <si>
    <t>TOTAL (veh/day)</t>
  </si>
  <si>
    <t>O/D</t>
  </si>
  <si>
    <t>N1 Junction</t>
  </si>
  <si>
    <t>South</t>
  </si>
  <si>
    <t>SUM</t>
  </si>
  <si>
    <t>Trailers (veh/day)</t>
  </si>
  <si>
    <t>Trucks (veh/day)</t>
  </si>
  <si>
    <t>Cars (veh/day)</t>
  </si>
  <si>
    <t>Bus (veh/day)</t>
  </si>
  <si>
    <t>SMV (veh/day)</t>
  </si>
  <si>
    <t>Cars (veh/hour)</t>
  </si>
  <si>
    <t>Bus (veh/hour)</t>
  </si>
  <si>
    <t>SMV (veh/hour)</t>
  </si>
  <si>
    <t>Trailers (veh/hour)</t>
  </si>
  <si>
    <t>Trucks (veh/hour)</t>
  </si>
  <si>
    <t xml:space="preserve">Modal Split </t>
  </si>
  <si>
    <t>96/2/2</t>
  </si>
  <si>
    <t>SUM ALL VEH/DAY</t>
  </si>
  <si>
    <t>SUM ALL VEH/HOUR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</si>
</sst>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5B79-20D7-564E-BEBB-13402EF4CDFD}">
  <dimension ref="A1:M51"/>
  <sheetViews>
    <sheetView tabSelected="1" topLeftCell="A37" workbookViewId="0">
      <selection activeCell="H43" sqref="H43"/>
    </sheetView>
  </sheetViews>
  <sheetFormatPr baseColWidth="10" defaultColWidth="11.140625" defaultRowHeight="19" x14ac:dyDescent="0.25"/>
  <cols>
    <col min="1" max="5" width="20.7109375" customWidth="1"/>
    <col min="6" max="6" width="20.7109375" style="1" customWidth="1"/>
    <col min="7" max="24" width="20.7109375" customWidth="1"/>
  </cols>
  <sheetData>
    <row r="1" spans="1:6" ht="30" customHeight="1" x14ac:dyDescent="0.25">
      <c r="A1" t="s">
        <v>0</v>
      </c>
      <c r="B1">
        <v>14600000</v>
      </c>
    </row>
    <row r="2" spans="1:6" ht="30" customHeight="1" x14ac:dyDescent="0.25">
      <c r="A2" t="s">
        <v>1</v>
      </c>
      <c r="B2">
        <v>37400000</v>
      </c>
    </row>
    <row r="3" spans="1:6" ht="30" customHeight="1" x14ac:dyDescent="0.25">
      <c r="A3" t="s">
        <v>2</v>
      </c>
      <c r="B3">
        <f>B1+B2</f>
        <v>52000000</v>
      </c>
    </row>
    <row r="4" spans="1:6" ht="30" customHeight="1" x14ac:dyDescent="0.25">
      <c r="A4" t="s">
        <v>3</v>
      </c>
      <c r="B4">
        <v>142000</v>
      </c>
    </row>
    <row r="5" spans="1:6" ht="30" customHeight="1" x14ac:dyDescent="0.25"/>
    <row r="6" spans="1:6" s="2" customFormat="1" ht="30" customHeight="1" x14ac:dyDescent="0.25">
      <c r="A6" s="2" t="s">
        <v>4</v>
      </c>
      <c r="B6" s="2" t="s">
        <v>5</v>
      </c>
    </row>
    <row r="7" spans="1:6" s="2" customFormat="1" ht="30" customHeight="1" x14ac:dyDescent="0.25">
      <c r="A7" s="2" t="s">
        <v>6</v>
      </c>
      <c r="B7" s="2" t="s">
        <v>7</v>
      </c>
    </row>
    <row r="8" spans="1:6" s="2" customFormat="1" ht="30" customHeight="1" x14ac:dyDescent="0.25">
      <c r="A8" s="2" t="s">
        <v>26</v>
      </c>
      <c r="B8" s="2" t="s">
        <v>27</v>
      </c>
    </row>
    <row r="9" spans="1:6" ht="30" customHeight="1" x14ac:dyDescent="0.25">
      <c r="A9" s="2" t="s">
        <v>8</v>
      </c>
      <c r="B9" s="3">
        <v>0.37</v>
      </c>
    </row>
    <row r="10" spans="1:6" ht="30" customHeight="1" x14ac:dyDescent="0.25">
      <c r="A10" s="2" t="s">
        <v>9</v>
      </c>
      <c r="B10" s="3">
        <v>0.34</v>
      </c>
    </row>
    <row r="11" spans="1:6" ht="30" customHeight="1" x14ac:dyDescent="0.25">
      <c r="A11" s="2" t="s">
        <v>10</v>
      </c>
      <c r="B11" s="3">
        <v>0.28999999999999998</v>
      </c>
    </row>
    <row r="12" spans="1:6" ht="30" customHeight="1" x14ac:dyDescent="0.25"/>
    <row r="13" spans="1:6" ht="30" customHeight="1" x14ac:dyDescent="0.25"/>
    <row r="14" spans="1:6" ht="30" customHeight="1" x14ac:dyDescent="0.25">
      <c r="A14" t="s">
        <v>11</v>
      </c>
    </row>
    <row r="15" spans="1:6" ht="30" customHeight="1" x14ac:dyDescent="0.25">
      <c r="A15" t="s">
        <v>12</v>
      </c>
      <c r="B15" t="s">
        <v>13</v>
      </c>
      <c r="C15" t="s">
        <v>9</v>
      </c>
      <c r="D15" t="s">
        <v>8</v>
      </c>
      <c r="E15" t="s">
        <v>14</v>
      </c>
      <c r="F15" s="1" t="s">
        <v>15</v>
      </c>
    </row>
    <row r="16" spans="1:6" ht="30" customHeight="1" x14ac:dyDescent="0.25">
      <c r="A16" t="s">
        <v>13</v>
      </c>
      <c r="B16" s="5">
        <v>0</v>
      </c>
      <c r="C16" s="5">
        <v>13399</v>
      </c>
      <c r="D16" s="5">
        <v>8750</v>
      </c>
      <c r="E16" s="5">
        <v>11428</v>
      </c>
      <c r="F16" s="1">
        <f>SUM(B16:E16)</f>
        <v>33577</v>
      </c>
    </row>
    <row r="17" spans="1:13" ht="30" customHeight="1" x14ac:dyDescent="0.25">
      <c r="A17" t="s">
        <v>9</v>
      </c>
      <c r="B17" s="5">
        <v>13399</v>
      </c>
      <c r="C17" s="5">
        <v>0</v>
      </c>
      <c r="D17" s="5">
        <v>986</v>
      </c>
      <c r="E17" s="6">
        <v>5743</v>
      </c>
      <c r="F17" s="1">
        <f t="shared" ref="F17:F19" si="0">SUM(B17:E17)</f>
        <v>20128</v>
      </c>
    </row>
    <row r="18" spans="1:13" ht="30" customHeight="1" x14ac:dyDescent="0.25">
      <c r="A18" t="s">
        <v>8</v>
      </c>
      <c r="B18" s="5">
        <v>8750</v>
      </c>
      <c r="C18" s="5">
        <v>986</v>
      </c>
      <c r="D18" s="5">
        <v>0</v>
      </c>
      <c r="E18" s="5">
        <v>6249</v>
      </c>
      <c r="F18" s="1">
        <f t="shared" si="0"/>
        <v>15985</v>
      </c>
    </row>
    <row r="19" spans="1:13" ht="30" customHeight="1" x14ac:dyDescent="0.25">
      <c r="A19" t="s">
        <v>14</v>
      </c>
      <c r="B19" s="6">
        <v>11428</v>
      </c>
      <c r="C19" s="6">
        <v>5743</v>
      </c>
      <c r="D19" s="6">
        <v>6249</v>
      </c>
      <c r="E19" s="6">
        <v>4899</v>
      </c>
      <c r="F19" s="1">
        <f t="shared" si="0"/>
        <v>28319</v>
      </c>
    </row>
    <row r="20" spans="1:13" ht="30" customHeight="1" x14ac:dyDescent="0.25">
      <c r="A20" s="1" t="s">
        <v>15</v>
      </c>
      <c r="B20" s="1">
        <f>SUM(B16:B19)</f>
        <v>33577</v>
      </c>
      <c r="C20" s="1">
        <f t="shared" ref="C20:E20" si="1">SUM(C16:C19)</f>
        <v>20128</v>
      </c>
      <c r="D20" s="1">
        <f t="shared" si="1"/>
        <v>15985</v>
      </c>
      <c r="E20" s="1">
        <f t="shared" si="1"/>
        <v>28319</v>
      </c>
      <c r="F20" s="1">
        <f>SUM(F16:F19)</f>
        <v>98009</v>
      </c>
    </row>
    <row r="21" spans="1:13" ht="30" customHeight="1" x14ac:dyDescent="0.25"/>
    <row r="22" spans="1:13" ht="30" customHeight="1" x14ac:dyDescent="0.25"/>
    <row r="23" spans="1:13" ht="30" customHeight="1" x14ac:dyDescent="0.25">
      <c r="A23" t="s">
        <v>16</v>
      </c>
      <c r="H23" s="7" t="s">
        <v>24</v>
      </c>
      <c r="I23" s="7"/>
      <c r="J23" s="7"/>
      <c r="K23" s="7"/>
      <c r="L23" s="7"/>
      <c r="M23" s="8"/>
    </row>
    <row r="24" spans="1:13" ht="30" customHeight="1" x14ac:dyDescent="0.25">
      <c r="A24" t="s">
        <v>12</v>
      </c>
      <c r="B24" t="s">
        <v>13</v>
      </c>
      <c r="C24" t="s">
        <v>9</v>
      </c>
      <c r="D24" t="s">
        <v>8</v>
      </c>
      <c r="E24" t="s">
        <v>14</v>
      </c>
      <c r="F24" s="1" t="s">
        <v>15</v>
      </c>
      <c r="H24" s="7" t="s">
        <v>12</v>
      </c>
      <c r="I24" s="7" t="s">
        <v>13</v>
      </c>
      <c r="J24" s="7" t="s">
        <v>9</v>
      </c>
      <c r="K24" s="7" t="s">
        <v>8</v>
      </c>
      <c r="L24" s="7" t="s">
        <v>14</v>
      </c>
      <c r="M24" s="8" t="s">
        <v>15</v>
      </c>
    </row>
    <row r="25" spans="1:13" ht="30" customHeight="1" x14ac:dyDescent="0.25">
      <c r="A25" t="s">
        <v>13</v>
      </c>
      <c r="B25" s="5">
        <v>0</v>
      </c>
      <c r="C25" s="5">
        <v>1678</v>
      </c>
      <c r="D25" s="5">
        <v>1096</v>
      </c>
      <c r="E25" s="5">
        <v>1431</v>
      </c>
      <c r="F25" s="1">
        <f>SUM(B25:E25)</f>
        <v>4205</v>
      </c>
      <c r="H25" s="7" t="s">
        <v>13</v>
      </c>
      <c r="I25" s="5">
        <f>ROUND(B25/24, 0)</f>
        <v>0</v>
      </c>
      <c r="J25" s="5">
        <f>ROUND(C25/24, 0)</f>
        <v>70</v>
      </c>
      <c r="K25" s="5">
        <f t="shared" ref="K25:L25" si="2">ROUND(D25/24, 0)</f>
        <v>46</v>
      </c>
      <c r="L25" s="5">
        <f t="shared" si="2"/>
        <v>60</v>
      </c>
      <c r="M25" s="8">
        <f>SUM(I25:L25)</f>
        <v>176</v>
      </c>
    </row>
    <row r="26" spans="1:13" ht="30" customHeight="1" x14ac:dyDescent="0.25">
      <c r="A26" t="s">
        <v>9</v>
      </c>
      <c r="B26" s="5">
        <v>1678</v>
      </c>
      <c r="C26" s="5">
        <v>0</v>
      </c>
      <c r="D26" s="5">
        <v>493</v>
      </c>
      <c r="E26" s="6">
        <v>719</v>
      </c>
      <c r="F26" s="1">
        <f t="shared" ref="F26:F28" si="3">SUM(B26:E26)</f>
        <v>2890</v>
      </c>
      <c r="H26" s="7" t="s">
        <v>9</v>
      </c>
      <c r="I26" s="5">
        <f t="shared" ref="I26:I28" si="4">ROUND(B26/24, 0)</f>
        <v>70</v>
      </c>
      <c r="J26" s="5">
        <f>ROUND(C26/24, 0)</f>
        <v>0</v>
      </c>
      <c r="K26" s="5">
        <f t="shared" ref="K26:K28" si="5">ROUND(D26/24, 0)</f>
        <v>21</v>
      </c>
      <c r="L26" s="6">
        <f t="shared" ref="L26:L28" si="6">ROUND(E26/24, 0)</f>
        <v>30</v>
      </c>
      <c r="M26" s="8">
        <f t="shared" ref="M26:M29" si="7">SUM(I26:L26)</f>
        <v>121</v>
      </c>
    </row>
    <row r="27" spans="1:13" ht="30" customHeight="1" x14ac:dyDescent="0.25">
      <c r="A27" t="s">
        <v>8</v>
      </c>
      <c r="B27" s="5">
        <v>1096</v>
      </c>
      <c r="C27" s="5">
        <v>493</v>
      </c>
      <c r="D27" s="5">
        <v>0</v>
      </c>
      <c r="E27" s="5">
        <v>782</v>
      </c>
      <c r="F27" s="1">
        <f t="shared" si="3"/>
        <v>2371</v>
      </c>
      <c r="H27" s="7" t="s">
        <v>8</v>
      </c>
      <c r="I27" s="5">
        <f t="shared" si="4"/>
        <v>46</v>
      </c>
      <c r="J27" s="5">
        <f>ROUND(C27/24, 0)</f>
        <v>21</v>
      </c>
      <c r="K27" s="5">
        <f t="shared" si="5"/>
        <v>0</v>
      </c>
      <c r="L27" s="5">
        <f t="shared" si="6"/>
        <v>33</v>
      </c>
      <c r="M27" s="8">
        <f t="shared" si="7"/>
        <v>100</v>
      </c>
    </row>
    <row r="28" spans="1:13" ht="30" customHeight="1" x14ac:dyDescent="0.25">
      <c r="A28" t="s">
        <v>14</v>
      </c>
      <c r="B28" s="6">
        <v>1431</v>
      </c>
      <c r="C28" s="6">
        <v>719</v>
      </c>
      <c r="D28" s="6">
        <v>782</v>
      </c>
      <c r="E28" s="6">
        <v>614</v>
      </c>
      <c r="F28" s="1">
        <f t="shared" si="3"/>
        <v>3546</v>
      </c>
      <c r="H28" s="7" t="s">
        <v>14</v>
      </c>
      <c r="I28" s="6">
        <f t="shared" si="4"/>
        <v>60</v>
      </c>
      <c r="J28" s="6">
        <f>ROUND(C28/24, 0)</f>
        <v>30</v>
      </c>
      <c r="K28" s="6">
        <f t="shared" si="5"/>
        <v>33</v>
      </c>
      <c r="L28" s="6">
        <f t="shared" si="6"/>
        <v>26</v>
      </c>
      <c r="M28" s="8">
        <f t="shared" si="7"/>
        <v>149</v>
      </c>
    </row>
    <row r="29" spans="1:13" ht="30" customHeight="1" x14ac:dyDescent="0.25">
      <c r="A29" s="1" t="s">
        <v>15</v>
      </c>
      <c r="B29" s="1">
        <f>SUM(B25:B28)</f>
        <v>4205</v>
      </c>
      <c r="C29" s="1">
        <f t="shared" ref="C29" si="8">SUM(C25:C28)</f>
        <v>2890</v>
      </c>
      <c r="D29" s="1">
        <f t="shared" ref="D29" si="9">SUM(D25:D28)</f>
        <v>2371</v>
      </c>
      <c r="E29" s="1">
        <f t="shared" ref="E29" si="10">SUM(E25:E28)</f>
        <v>3546</v>
      </c>
      <c r="F29" s="1">
        <f>SUM(F25:F28)</f>
        <v>13012</v>
      </c>
      <c r="H29" s="8" t="s">
        <v>15</v>
      </c>
      <c r="I29" s="8">
        <f>SUM(I25:I28)</f>
        <v>176</v>
      </c>
      <c r="J29" s="8">
        <f t="shared" ref="J29:L29" si="11">SUM(J25:J28)</f>
        <v>121</v>
      </c>
      <c r="K29" s="8">
        <f t="shared" si="11"/>
        <v>100</v>
      </c>
      <c r="L29" s="8">
        <f t="shared" si="11"/>
        <v>149</v>
      </c>
      <c r="M29" s="8">
        <f t="shared" si="7"/>
        <v>546</v>
      </c>
    </row>
    <row r="30" spans="1:13" ht="30" customHeight="1" x14ac:dyDescent="0.25"/>
    <row r="31" spans="1:13" ht="30" customHeight="1" x14ac:dyDescent="0.25"/>
    <row r="32" spans="1:13" ht="30" customHeight="1" x14ac:dyDescent="0.25">
      <c r="A32" t="s">
        <v>17</v>
      </c>
      <c r="H32" s="7" t="s">
        <v>25</v>
      </c>
      <c r="I32" s="7"/>
      <c r="J32" s="7"/>
      <c r="K32" s="7"/>
      <c r="L32" s="7"/>
      <c r="M32" s="8"/>
    </row>
    <row r="33" spans="1:13" ht="30" customHeight="1" x14ac:dyDescent="0.25">
      <c r="A33" t="s">
        <v>12</v>
      </c>
      <c r="B33" t="s">
        <v>13</v>
      </c>
      <c r="C33" t="s">
        <v>9</v>
      </c>
      <c r="D33" t="s">
        <v>8</v>
      </c>
      <c r="E33" t="s">
        <v>14</v>
      </c>
      <c r="F33" s="1" t="s">
        <v>15</v>
      </c>
      <c r="H33" s="7" t="s">
        <v>12</v>
      </c>
      <c r="I33" s="7" t="s">
        <v>13</v>
      </c>
      <c r="J33" s="7" t="s">
        <v>9</v>
      </c>
      <c r="K33" s="7" t="s">
        <v>8</v>
      </c>
      <c r="L33" s="7" t="s">
        <v>14</v>
      </c>
      <c r="M33" s="8" t="s">
        <v>15</v>
      </c>
    </row>
    <row r="34" spans="1:13" ht="30" customHeight="1" x14ac:dyDescent="0.25">
      <c r="A34" t="s">
        <v>13</v>
      </c>
      <c r="B34" s="5">
        <v>0</v>
      </c>
      <c r="C34" s="5">
        <v>11721</v>
      </c>
      <c r="D34" s="5">
        <v>7654</v>
      </c>
      <c r="E34" s="5">
        <v>9997</v>
      </c>
      <c r="F34" s="1">
        <f>SUM(B34:E34)</f>
        <v>29372</v>
      </c>
      <c r="H34" s="7" t="s">
        <v>13</v>
      </c>
      <c r="I34" s="5">
        <f>ROUND(B34/24, 0)</f>
        <v>0</v>
      </c>
      <c r="J34" s="5">
        <f>ROUND(C34/24, 0)</f>
        <v>488</v>
      </c>
      <c r="K34" s="5">
        <f t="shared" ref="K34:L34" si="12">ROUND(D34/24, 0)</f>
        <v>319</v>
      </c>
      <c r="L34" s="5">
        <f t="shared" si="12"/>
        <v>417</v>
      </c>
      <c r="M34" s="8">
        <f>SUM(I34:L34)</f>
        <v>1224</v>
      </c>
    </row>
    <row r="35" spans="1:13" ht="30" customHeight="1" x14ac:dyDescent="0.25">
      <c r="A35" t="s">
        <v>9</v>
      </c>
      <c r="B35" s="5">
        <v>11721</v>
      </c>
      <c r="C35" s="5">
        <v>0</v>
      </c>
      <c r="D35" s="5">
        <v>493</v>
      </c>
      <c r="E35" s="6">
        <v>5743</v>
      </c>
      <c r="F35" s="1">
        <f t="shared" ref="F35:F37" si="13">SUM(B35:E35)</f>
        <v>17957</v>
      </c>
      <c r="H35" s="7" t="s">
        <v>9</v>
      </c>
      <c r="I35" s="5">
        <f t="shared" ref="I35:I37" si="14">ROUND(B35/24, 0)</f>
        <v>488</v>
      </c>
      <c r="J35" s="5">
        <f>ROUND(C35/24, 0)</f>
        <v>0</v>
      </c>
      <c r="K35" s="5">
        <f t="shared" ref="K35:K37" si="15">ROUND(D35/24, 0)</f>
        <v>21</v>
      </c>
      <c r="L35" s="6">
        <f t="shared" ref="L35:L37" si="16">ROUND(E35/24, 0)</f>
        <v>239</v>
      </c>
      <c r="M35" s="8">
        <f t="shared" ref="M35:M38" si="17">SUM(I35:L35)</f>
        <v>748</v>
      </c>
    </row>
    <row r="36" spans="1:13" ht="30" customHeight="1" x14ac:dyDescent="0.25">
      <c r="A36" t="s">
        <v>8</v>
      </c>
      <c r="B36" s="5">
        <v>7654</v>
      </c>
      <c r="C36" s="5">
        <v>493</v>
      </c>
      <c r="D36" s="5">
        <v>0</v>
      </c>
      <c r="E36" s="5">
        <v>6249</v>
      </c>
      <c r="F36" s="1">
        <f t="shared" si="13"/>
        <v>14396</v>
      </c>
      <c r="H36" s="7" t="s">
        <v>8</v>
      </c>
      <c r="I36" s="5">
        <f t="shared" si="14"/>
        <v>319</v>
      </c>
      <c r="J36" s="5">
        <f>ROUND(C36/24, 0)</f>
        <v>21</v>
      </c>
      <c r="K36" s="5">
        <f t="shared" si="15"/>
        <v>0</v>
      </c>
      <c r="L36" s="5">
        <f t="shared" si="16"/>
        <v>260</v>
      </c>
      <c r="M36" s="8">
        <f t="shared" si="17"/>
        <v>600</v>
      </c>
    </row>
    <row r="37" spans="1:13" ht="30" customHeight="1" x14ac:dyDescent="0.25">
      <c r="A37" t="s">
        <v>14</v>
      </c>
      <c r="B37" s="6">
        <v>9997</v>
      </c>
      <c r="C37" s="6">
        <v>5743</v>
      </c>
      <c r="D37" s="6">
        <v>6249</v>
      </c>
      <c r="E37" s="6">
        <v>4899</v>
      </c>
      <c r="F37" s="1">
        <f t="shared" si="13"/>
        <v>26888</v>
      </c>
      <c r="H37" s="7" t="s">
        <v>14</v>
      </c>
      <c r="I37" s="6">
        <f t="shared" si="14"/>
        <v>417</v>
      </c>
      <c r="J37" s="6">
        <f>ROUND(C37/24, 0)</f>
        <v>239</v>
      </c>
      <c r="K37" s="6">
        <f t="shared" si="15"/>
        <v>260</v>
      </c>
      <c r="L37" s="6">
        <f t="shared" si="16"/>
        <v>204</v>
      </c>
      <c r="M37" s="8">
        <f t="shared" si="17"/>
        <v>1120</v>
      </c>
    </row>
    <row r="38" spans="1:13" ht="30" customHeight="1" x14ac:dyDescent="0.25">
      <c r="A38" s="1" t="s">
        <v>15</v>
      </c>
      <c r="B38" s="1">
        <f>SUM(B34:B37)</f>
        <v>29372</v>
      </c>
      <c r="C38" s="1">
        <f t="shared" ref="C38" si="18">SUM(C34:C37)</f>
        <v>17957</v>
      </c>
      <c r="D38" s="1">
        <f t="shared" ref="D38" si="19">SUM(D34:D37)</f>
        <v>14396</v>
      </c>
      <c r="E38" s="1">
        <f t="shared" ref="E38" si="20">SUM(E34:E37)</f>
        <v>26888</v>
      </c>
      <c r="F38" s="1">
        <f>SUM(F34:F37)</f>
        <v>88613</v>
      </c>
      <c r="H38" s="8" t="s">
        <v>15</v>
      </c>
      <c r="I38" s="8">
        <f>SUM(I34:I37)</f>
        <v>1224</v>
      </c>
      <c r="J38" s="8">
        <f t="shared" ref="J38" si="21">SUM(J34:J37)</f>
        <v>748</v>
      </c>
      <c r="K38" s="8">
        <f t="shared" ref="K38" si="22">SUM(K34:K37)</f>
        <v>600</v>
      </c>
      <c r="L38" s="8">
        <f t="shared" ref="L38" si="23">SUM(L34:L37)</f>
        <v>1120</v>
      </c>
      <c r="M38" s="8">
        <f t="shared" si="17"/>
        <v>3692</v>
      </c>
    </row>
    <row r="39" spans="1:13" ht="30" customHeight="1" x14ac:dyDescent="0.25"/>
    <row r="40" spans="1:13" ht="30" customHeight="1" x14ac:dyDescent="0.25"/>
    <row r="41" spans="1:13" ht="30" customHeight="1" x14ac:dyDescent="0.25"/>
    <row r="42" spans="1:13" ht="30" customHeight="1" x14ac:dyDescent="0.25">
      <c r="A42" t="s">
        <v>28</v>
      </c>
      <c r="H42" t="s">
        <v>29</v>
      </c>
      <c r="M42" s="1"/>
    </row>
    <row r="43" spans="1:13" ht="30" customHeight="1" x14ac:dyDescent="0.25">
      <c r="A43" t="s">
        <v>12</v>
      </c>
      <c r="B43" t="s">
        <v>13</v>
      </c>
      <c r="C43" t="s">
        <v>9</v>
      </c>
      <c r="D43" t="s">
        <v>8</v>
      </c>
      <c r="E43" t="s">
        <v>14</v>
      </c>
      <c r="F43" s="1" t="s">
        <v>15</v>
      </c>
      <c r="H43" t="s">
        <v>12</v>
      </c>
      <c r="I43" t="s">
        <v>13</v>
      </c>
      <c r="J43" t="s">
        <v>9</v>
      </c>
      <c r="K43" t="s">
        <v>8</v>
      </c>
      <c r="L43" t="s">
        <v>14</v>
      </c>
      <c r="M43" s="1" t="s">
        <v>15</v>
      </c>
    </row>
    <row r="44" spans="1:13" ht="30" customHeight="1" x14ac:dyDescent="0.25">
      <c r="A44" t="s">
        <v>13</v>
      </c>
      <c r="B44" s="9">
        <f>B25+B34+'Local Traffic'!B3+'Local Traffic'!B12+'Local Traffic'!B21</f>
        <v>0</v>
      </c>
      <c r="C44" s="9">
        <f>C25+C34+'Local Traffic'!C3+'Local Traffic'!C12+'Local Traffic'!C21</f>
        <v>26989</v>
      </c>
      <c r="D44" s="9">
        <f>D25+D34+'Local Traffic'!D3+'Local Traffic'!D12+'Local Traffic'!D21</f>
        <v>16906</v>
      </c>
      <c r="E44" s="9">
        <f>E25+E34+'Local Traffic'!E3+'Local Traffic'!E12+'Local Traffic'!E21</f>
        <v>17796</v>
      </c>
      <c r="F44" s="1">
        <f>SUM(B44:E44)</f>
        <v>61691</v>
      </c>
      <c r="H44" t="s">
        <v>13</v>
      </c>
      <c r="I44" s="9">
        <f>I25+I34+'Local Traffic'!I3+'Local Traffic'!I12+'Local Traffic'!I21</f>
        <v>0</v>
      </c>
      <c r="J44" s="9">
        <f>J25+J34+'Local Traffic'!J3+'Local Traffic'!J12+'Local Traffic'!J21</f>
        <v>1125</v>
      </c>
      <c r="K44" s="9">
        <f>K25+K34+'Local Traffic'!K3+'Local Traffic'!K12+'Local Traffic'!K21</f>
        <v>705</v>
      </c>
      <c r="L44" s="9">
        <f>L25+L34+'Local Traffic'!L3+'Local Traffic'!L12+'Local Traffic'!L21</f>
        <v>742</v>
      </c>
      <c r="M44" s="1">
        <f>SUM(I44:L44)</f>
        <v>2572</v>
      </c>
    </row>
    <row r="45" spans="1:13" ht="30" customHeight="1" x14ac:dyDescent="0.25">
      <c r="A45" t="s">
        <v>9</v>
      </c>
      <c r="B45" s="9">
        <f>B26+B35+'Local Traffic'!B4+'Local Traffic'!B13+'Local Traffic'!B22</f>
        <v>26989</v>
      </c>
      <c r="C45" s="9">
        <f>C26+C35+'Local Traffic'!C4+'Local Traffic'!C13+'Local Traffic'!C22</f>
        <v>0</v>
      </c>
      <c r="D45" s="9">
        <f>D26+D35+'Local Traffic'!D4+'Local Traffic'!D13+'Local Traffic'!D22</f>
        <v>986</v>
      </c>
      <c r="E45" s="9">
        <f>E26+E35+'Local Traffic'!E4+'Local Traffic'!E13+'Local Traffic'!E22</f>
        <v>16265</v>
      </c>
      <c r="F45" s="1">
        <f t="shared" ref="F45:F47" si="24">SUM(B45:E45)</f>
        <v>44240</v>
      </c>
      <c r="H45" t="s">
        <v>9</v>
      </c>
      <c r="I45" s="9">
        <f>I26+I35+'Local Traffic'!I4+'Local Traffic'!I13+'Local Traffic'!I22</f>
        <v>1125</v>
      </c>
      <c r="J45" s="9">
        <f>J26+J35+'Local Traffic'!J4+'Local Traffic'!J13+'Local Traffic'!J22</f>
        <v>0</v>
      </c>
      <c r="K45" s="9">
        <f>K26+K35+'Local Traffic'!K4+'Local Traffic'!K13+'Local Traffic'!K22</f>
        <v>42</v>
      </c>
      <c r="L45" s="9">
        <f>L26+L35+'Local Traffic'!L4+'Local Traffic'!L13+'Local Traffic'!L22</f>
        <v>677</v>
      </c>
      <c r="M45" s="1">
        <f t="shared" ref="M45:M47" si="25">SUM(I45:L45)</f>
        <v>1844</v>
      </c>
    </row>
    <row r="46" spans="1:13" ht="30" customHeight="1" x14ac:dyDescent="0.25">
      <c r="A46" t="s">
        <v>8</v>
      </c>
      <c r="B46" s="9">
        <f>B27+B36+'Local Traffic'!B5+'Local Traffic'!B14+'Local Traffic'!B23</f>
        <v>16906</v>
      </c>
      <c r="C46" s="9">
        <f>C27+C36+'Local Traffic'!C5+'Local Traffic'!C14+'Local Traffic'!C23</f>
        <v>986</v>
      </c>
      <c r="D46" s="9">
        <f>D27+D36+'Local Traffic'!D5+'Local Traffic'!D14+'Local Traffic'!D23</f>
        <v>0</v>
      </c>
      <c r="E46" s="9">
        <f>E27+E36+'Local Traffic'!E5+'Local Traffic'!E14+'Local Traffic'!E23</f>
        <v>16835</v>
      </c>
      <c r="F46" s="1">
        <f t="shared" si="24"/>
        <v>34727</v>
      </c>
      <c r="H46" t="s">
        <v>8</v>
      </c>
      <c r="I46" s="9">
        <f>I27+I36+'Local Traffic'!I5+'Local Traffic'!I14+'Local Traffic'!I23</f>
        <v>705</v>
      </c>
      <c r="J46" s="9">
        <f>J27+J36+'Local Traffic'!J5+'Local Traffic'!J14+'Local Traffic'!J23</f>
        <v>42</v>
      </c>
      <c r="K46" s="9">
        <f>K27+K36+'Local Traffic'!K5+'Local Traffic'!K14+'Local Traffic'!K23</f>
        <v>0</v>
      </c>
      <c r="L46" s="9">
        <f>L27+L36+'Local Traffic'!L5+'Local Traffic'!L14+'Local Traffic'!L23</f>
        <v>701</v>
      </c>
      <c r="M46" s="1">
        <f t="shared" si="25"/>
        <v>1448</v>
      </c>
    </row>
    <row r="47" spans="1:13" ht="30" customHeight="1" x14ac:dyDescent="0.25">
      <c r="A47" t="s">
        <v>14</v>
      </c>
      <c r="B47" s="9">
        <f>B28+B37+'Local Traffic'!B6+'Local Traffic'!B15+'Local Traffic'!B24</f>
        <v>17796</v>
      </c>
      <c r="C47" s="9">
        <f>C28+C37+'Local Traffic'!C6+'Local Traffic'!C15+'Local Traffic'!C24</f>
        <v>16265</v>
      </c>
      <c r="D47" s="9">
        <f>D28+D37+'Local Traffic'!D6+'Local Traffic'!D15+'Local Traffic'!D24</f>
        <v>16835</v>
      </c>
      <c r="E47" s="9">
        <f>E28+E37+'Local Traffic'!E6+'Local Traffic'!E15+'Local Traffic'!E24</f>
        <v>5513</v>
      </c>
      <c r="F47" s="1">
        <f t="shared" si="24"/>
        <v>56409</v>
      </c>
      <c r="H47" t="s">
        <v>14</v>
      </c>
      <c r="I47" s="9">
        <f>I28+I37+'Local Traffic'!I6+'Local Traffic'!I15+'Local Traffic'!I24</f>
        <v>742</v>
      </c>
      <c r="J47" s="9">
        <f>J28+J37+'Local Traffic'!J6+'Local Traffic'!J15+'Local Traffic'!J24</f>
        <v>677</v>
      </c>
      <c r="K47" s="9">
        <f>K28+K37+'Local Traffic'!K6+'Local Traffic'!K15+'Local Traffic'!K24</f>
        <v>701</v>
      </c>
      <c r="L47" s="9">
        <f>L28+L37+'Local Traffic'!L6+'Local Traffic'!L15+'Local Traffic'!L24</f>
        <v>230</v>
      </c>
      <c r="M47" s="1">
        <f t="shared" si="25"/>
        <v>2350</v>
      </c>
    </row>
    <row r="48" spans="1:13" ht="30" customHeight="1" x14ac:dyDescent="0.25">
      <c r="A48" s="1" t="s">
        <v>15</v>
      </c>
      <c r="B48" s="1">
        <f>SUM(B44:B47)</f>
        <v>61691</v>
      </c>
      <c r="C48" s="1">
        <f t="shared" ref="C48:E48" si="26">SUM(C44:C47)</f>
        <v>44240</v>
      </c>
      <c r="D48" s="1">
        <f t="shared" si="26"/>
        <v>34727</v>
      </c>
      <c r="E48" s="1">
        <f t="shared" si="26"/>
        <v>56409</v>
      </c>
      <c r="F48" s="1">
        <f>SUM(F44:F47)</f>
        <v>197067</v>
      </c>
      <c r="H48" s="1" t="s">
        <v>15</v>
      </c>
      <c r="I48" s="1">
        <f>SUM(I44:I47)</f>
        <v>2572</v>
      </c>
      <c r="J48" s="1">
        <f t="shared" ref="J48:L48" si="27">SUM(J44:J47)</f>
        <v>1844</v>
      </c>
      <c r="K48" s="1">
        <f t="shared" si="27"/>
        <v>1448</v>
      </c>
      <c r="L48" s="1">
        <f t="shared" si="27"/>
        <v>2350</v>
      </c>
      <c r="M48" s="1">
        <f>SUM(M44:M47)</f>
        <v>8214</v>
      </c>
    </row>
    <row r="49" ht="30" customHeight="1" x14ac:dyDescent="0.25"/>
    <row r="50" ht="30" customHeight="1" x14ac:dyDescent="0.25"/>
    <row r="51" ht="30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1F9-1C07-EE40-B3F8-16EDB475F4DA}">
  <dimension ref="A1:M30"/>
  <sheetViews>
    <sheetView topLeftCell="A9" zoomScale="75" workbookViewId="0">
      <selection activeCell="N11" sqref="N11"/>
    </sheetView>
  </sheetViews>
  <sheetFormatPr baseColWidth="10" defaultColWidth="11.140625" defaultRowHeight="19" x14ac:dyDescent="0.25"/>
  <cols>
    <col min="1" max="5" width="20.7109375" customWidth="1"/>
    <col min="6" max="6" width="20.7109375" style="1" customWidth="1"/>
    <col min="7" max="24" width="20.7109375" customWidth="1"/>
  </cols>
  <sheetData>
    <row r="1" spans="1:13" ht="30" customHeight="1" x14ac:dyDescent="0.25">
      <c r="A1" t="s">
        <v>18</v>
      </c>
      <c r="H1" t="s">
        <v>21</v>
      </c>
      <c r="M1" s="1"/>
    </row>
    <row r="2" spans="1:13" ht="30" customHeight="1" x14ac:dyDescent="0.25">
      <c r="A2" t="s">
        <v>12</v>
      </c>
      <c r="B2" t="s">
        <v>13</v>
      </c>
      <c r="C2" t="s">
        <v>9</v>
      </c>
      <c r="D2" t="s">
        <v>8</v>
      </c>
      <c r="E2" t="s">
        <v>14</v>
      </c>
      <c r="F2" s="1" t="s">
        <v>15</v>
      </c>
      <c r="H2" t="s">
        <v>12</v>
      </c>
      <c r="I2" t="s">
        <v>13</v>
      </c>
      <c r="J2" t="s">
        <v>9</v>
      </c>
      <c r="K2" t="s">
        <v>8</v>
      </c>
      <c r="L2" t="s">
        <v>14</v>
      </c>
      <c r="M2" s="1" t="s">
        <v>15</v>
      </c>
    </row>
    <row r="3" spans="1:13" ht="30" customHeight="1" x14ac:dyDescent="0.25">
      <c r="A3" t="s">
        <v>13</v>
      </c>
      <c r="B3" s="5">
        <v>0</v>
      </c>
      <c r="C3" s="5">
        <v>5472</v>
      </c>
      <c r="D3" s="5">
        <v>3284</v>
      </c>
      <c r="E3" s="5">
        <v>1570</v>
      </c>
      <c r="F3" s="1">
        <f>SUM(B3:E3)</f>
        <v>10326</v>
      </c>
      <c r="H3" t="s">
        <v>13</v>
      </c>
      <c r="I3" s="5">
        <f>ROUND(B3/24, 0)</f>
        <v>0</v>
      </c>
      <c r="J3" s="5">
        <f t="shared" ref="J3:L3" si="0">ROUND(C3/24, 0)</f>
        <v>228</v>
      </c>
      <c r="K3" s="5">
        <f t="shared" si="0"/>
        <v>137</v>
      </c>
      <c r="L3" s="5">
        <f t="shared" si="0"/>
        <v>65</v>
      </c>
      <c r="M3" s="1">
        <f>SUM(I3:L3)</f>
        <v>430</v>
      </c>
    </row>
    <row r="4" spans="1:13" ht="30" customHeight="1" x14ac:dyDescent="0.25">
      <c r="A4" t="s">
        <v>9</v>
      </c>
      <c r="B4" s="5">
        <v>5472</v>
      </c>
      <c r="C4" s="5">
        <v>0</v>
      </c>
      <c r="D4" s="5">
        <v>0</v>
      </c>
      <c r="E4" s="6">
        <v>1570</v>
      </c>
      <c r="F4" s="1">
        <f t="shared" ref="F4:F6" si="1">SUM(B4:E4)</f>
        <v>7042</v>
      </c>
      <c r="H4" t="s">
        <v>9</v>
      </c>
      <c r="I4" s="5">
        <f t="shared" ref="I4:I6" si="2">ROUND(B4/24, 0)</f>
        <v>228</v>
      </c>
      <c r="J4" s="5">
        <f t="shared" ref="J4:J6" si="3">ROUND(C4/24, 0)</f>
        <v>0</v>
      </c>
      <c r="K4" s="5">
        <f t="shared" ref="K4:K6" si="4">ROUND(D4/24, 0)</f>
        <v>0</v>
      </c>
      <c r="L4" s="6">
        <f t="shared" ref="L4:L6" si="5">ROUND(E4/24, 0)</f>
        <v>65</v>
      </c>
      <c r="M4" s="1">
        <f t="shared" ref="M4:M6" si="6">SUM(I4:L4)</f>
        <v>293</v>
      </c>
    </row>
    <row r="5" spans="1:13" ht="30" customHeight="1" x14ac:dyDescent="0.25">
      <c r="A5" t="s">
        <v>8</v>
      </c>
      <c r="B5" s="5">
        <v>3284</v>
      </c>
      <c r="C5" s="5">
        <v>0</v>
      </c>
      <c r="D5" s="5">
        <v>0</v>
      </c>
      <c r="E5" s="5">
        <v>1570</v>
      </c>
      <c r="F5" s="1">
        <f t="shared" si="1"/>
        <v>4854</v>
      </c>
      <c r="H5" t="s">
        <v>8</v>
      </c>
      <c r="I5" s="5">
        <f t="shared" si="2"/>
        <v>137</v>
      </c>
      <c r="J5" s="5">
        <f t="shared" si="3"/>
        <v>0</v>
      </c>
      <c r="K5" s="5">
        <f t="shared" si="4"/>
        <v>0</v>
      </c>
      <c r="L5" s="5">
        <f t="shared" si="5"/>
        <v>65</v>
      </c>
      <c r="M5" s="1">
        <f t="shared" si="6"/>
        <v>202</v>
      </c>
    </row>
    <row r="6" spans="1:13" s="2" customFormat="1" ht="30" customHeight="1" x14ac:dyDescent="0.25">
      <c r="A6" t="s">
        <v>14</v>
      </c>
      <c r="B6" s="6">
        <v>1570</v>
      </c>
      <c r="C6" s="6">
        <v>1570</v>
      </c>
      <c r="D6" s="6">
        <v>1570</v>
      </c>
      <c r="E6" s="6">
        <v>0</v>
      </c>
      <c r="F6" s="1">
        <f t="shared" si="1"/>
        <v>4710</v>
      </c>
      <c r="H6" t="s">
        <v>14</v>
      </c>
      <c r="I6" s="6">
        <f t="shared" si="2"/>
        <v>65</v>
      </c>
      <c r="J6" s="6">
        <f t="shared" si="3"/>
        <v>65</v>
      </c>
      <c r="K6" s="6">
        <f t="shared" si="4"/>
        <v>65</v>
      </c>
      <c r="L6" s="6">
        <f t="shared" si="5"/>
        <v>0</v>
      </c>
      <c r="M6" s="1">
        <f t="shared" si="6"/>
        <v>195</v>
      </c>
    </row>
    <row r="7" spans="1:13" ht="30" customHeight="1" x14ac:dyDescent="0.25">
      <c r="A7" s="1" t="s">
        <v>15</v>
      </c>
      <c r="B7" s="1">
        <f>SUM(B3:B6)</f>
        <v>10326</v>
      </c>
      <c r="C7" s="1">
        <f t="shared" ref="C7" si="7">SUM(C3:C6)</f>
        <v>7042</v>
      </c>
      <c r="D7" s="1">
        <f t="shared" ref="D7" si="8">SUM(D3:D6)</f>
        <v>4854</v>
      </c>
      <c r="E7" s="1">
        <f t="shared" ref="E7" si="9">SUM(E3:E6)</f>
        <v>4710</v>
      </c>
      <c r="F7" s="1">
        <f>SUM(F3:F6)</f>
        <v>26932</v>
      </c>
      <c r="H7" s="1" t="s">
        <v>15</v>
      </c>
      <c r="I7" s="1">
        <f>SUM(I3:I6)</f>
        <v>430</v>
      </c>
      <c r="J7" s="1">
        <f t="shared" ref="J7:L7" si="10">SUM(J3:J6)</f>
        <v>293</v>
      </c>
      <c r="K7" s="1">
        <f t="shared" si="10"/>
        <v>202</v>
      </c>
      <c r="L7" s="1">
        <f t="shared" si="10"/>
        <v>195</v>
      </c>
      <c r="M7" s="1">
        <f>SUM(M3:M6)</f>
        <v>1120</v>
      </c>
    </row>
    <row r="8" spans="1:13" ht="30" customHeight="1" x14ac:dyDescent="0.25">
      <c r="A8" s="2"/>
      <c r="B8" s="4"/>
      <c r="C8" s="2"/>
      <c r="D8" s="2"/>
      <c r="E8" s="2"/>
      <c r="F8" s="2"/>
    </row>
    <row r="9" spans="1:13" ht="30" customHeight="1" x14ac:dyDescent="0.25">
      <c r="A9" s="2"/>
      <c r="B9" s="4"/>
      <c r="C9" s="2"/>
      <c r="D9" s="2"/>
      <c r="E9" s="2"/>
      <c r="F9" s="2"/>
    </row>
    <row r="10" spans="1:13" ht="30" customHeight="1" x14ac:dyDescent="0.25">
      <c r="A10" s="2" t="s">
        <v>19</v>
      </c>
      <c r="B10" s="2"/>
      <c r="C10" s="2"/>
      <c r="D10" s="2"/>
      <c r="E10" s="2"/>
      <c r="F10" s="2"/>
      <c r="H10" t="s">
        <v>22</v>
      </c>
      <c r="M10" s="1"/>
    </row>
    <row r="11" spans="1:13" ht="30" customHeight="1" x14ac:dyDescent="0.25">
      <c r="A11" t="s">
        <v>12</v>
      </c>
      <c r="B11" t="s">
        <v>13</v>
      </c>
      <c r="C11" t="s">
        <v>9</v>
      </c>
      <c r="D11" t="s">
        <v>8</v>
      </c>
      <c r="E11" t="s">
        <v>14</v>
      </c>
      <c r="F11" s="1" t="s">
        <v>15</v>
      </c>
      <c r="H11" t="s">
        <v>12</v>
      </c>
      <c r="I11" t="s">
        <v>13</v>
      </c>
      <c r="J11" t="s">
        <v>9</v>
      </c>
      <c r="K11" t="s">
        <v>8</v>
      </c>
      <c r="L11" t="s">
        <v>14</v>
      </c>
      <c r="M11" s="1" t="s">
        <v>15</v>
      </c>
    </row>
    <row r="12" spans="1:13" ht="30" customHeight="1" x14ac:dyDescent="0.25">
      <c r="A12" t="s">
        <v>13</v>
      </c>
      <c r="B12" s="5">
        <v>0</v>
      </c>
      <c r="C12" s="5">
        <v>6495</v>
      </c>
      <c r="D12" s="5">
        <v>3898</v>
      </c>
      <c r="E12" s="5">
        <v>1552</v>
      </c>
      <c r="F12" s="1">
        <f>SUM(B12:E12)</f>
        <v>11945</v>
      </c>
      <c r="H12" t="s">
        <v>13</v>
      </c>
      <c r="I12" s="5">
        <f>ROUND(B12/24, 0)</f>
        <v>0</v>
      </c>
      <c r="J12" s="5">
        <f t="shared" ref="J12:J15" si="11">ROUND(C12/24, 0)</f>
        <v>271</v>
      </c>
      <c r="K12" s="5">
        <f t="shared" ref="K12:K15" si="12">ROUND(D12/24, 0)</f>
        <v>162</v>
      </c>
      <c r="L12" s="5">
        <f t="shared" ref="L12:L15" si="13">ROUND(E12/24, 0)</f>
        <v>65</v>
      </c>
      <c r="M12" s="1">
        <f>SUM(I12:L12)</f>
        <v>498</v>
      </c>
    </row>
    <row r="13" spans="1:13" ht="30" customHeight="1" x14ac:dyDescent="0.25">
      <c r="A13" t="s">
        <v>9</v>
      </c>
      <c r="B13" s="5">
        <v>6495</v>
      </c>
      <c r="C13" s="5">
        <v>0</v>
      </c>
      <c r="D13" s="5">
        <v>0</v>
      </c>
      <c r="E13" s="6">
        <v>1551</v>
      </c>
      <c r="F13" s="1">
        <f t="shared" ref="F13:F15" si="14">SUM(B13:E13)</f>
        <v>8046</v>
      </c>
      <c r="H13" t="s">
        <v>9</v>
      </c>
      <c r="I13" s="5">
        <f t="shared" ref="I13:I15" si="15">ROUND(B13/24, 0)</f>
        <v>271</v>
      </c>
      <c r="J13" s="5">
        <f t="shared" si="11"/>
        <v>0</v>
      </c>
      <c r="K13" s="5">
        <f t="shared" si="12"/>
        <v>0</v>
      </c>
      <c r="L13" s="6">
        <f t="shared" si="13"/>
        <v>65</v>
      </c>
      <c r="M13" s="1">
        <f t="shared" ref="M13:M15" si="16">SUM(I13:L13)</f>
        <v>336</v>
      </c>
    </row>
    <row r="14" spans="1:13" ht="30" customHeight="1" x14ac:dyDescent="0.25">
      <c r="A14" t="s">
        <v>8</v>
      </c>
      <c r="B14" s="5">
        <v>3898</v>
      </c>
      <c r="C14" s="5">
        <v>0</v>
      </c>
      <c r="D14" s="5">
        <v>0</v>
      </c>
      <c r="E14" s="5">
        <v>1552</v>
      </c>
      <c r="F14" s="1">
        <f t="shared" si="14"/>
        <v>5450</v>
      </c>
      <c r="H14" t="s">
        <v>8</v>
      </c>
      <c r="I14" s="5">
        <f t="shared" si="15"/>
        <v>162</v>
      </c>
      <c r="J14" s="5">
        <f t="shared" si="11"/>
        <v>0</v>
      </c>
      <c r="K14" s="5">
        <f t="shared" si="12"/>
        <v>0</v>
      </c>
      <c r="L14" s="5">
        <f t="shared" si="13"/>
        <v>65</v>
      </c>
      <c r="M14" s="1">
        <f t="shared" si="16"/>
        <v>227</v>
      </c>
    </row>
    <row r="15" spans="1:13" ht="30" customHeight="1" x14ac:dyDescent="0.25">
      <c r="A15" t="s">
        <v>14</v>
      </c>
      <c r="B15" s="6">
        <v>1552</v>
      </c>
      <c r="C15" s="6">
        <v>1551</v>
      </c>
      <c r="D15" s="6">
        <v>1552</v>
      </c>
      <c r="E15" s="6">
        <v>0</v>
      </c>
      <c r="F15" s="1">
        <f t="shared" si="14"/>
        <v>4655</v>
      </c>
      <c r="H15" t="s">
        <v>14</v>
      </c>
      <c r="I15" s="6">
        <f t="shared" si="15"/>
        <v>65</v>
      </c>
      <c r="J15" s="6">
        <f t="shared" si="11"/>
        <v>65</v>
      </c>
      <c r="K15" s="6">
        <f t="shared" si="12"/>
        <v>65</v>
      </c>
      <c r="L15" s="6">
        <f t="shared" si="13"/>
        <v>0</v>
      </c>
      <c r="M15" s="1">
        <f t="shared" si="16"/>
        <v>195</v>
      </c>
    </row>
    <row r="16" spans="1:13" ht="30" customHeight="1" x14ac:dyDescent="0.25">
      <c r="A16" s="1" t="s">
        <v>15</v>
      </c>
      <c r="B16" s="1">
        <f>SUM(B12:B15)</f>
        <v>11945</v>
      </c>
      <c r="C16" s="1">
        <f t="shared" ref="C16" si="17">SUM(C12:C15)</f>
        <v>8046</v>
      </c>
      <c r="D16" s="1">
        <f t="shared" ref="D16" si="18">SUM(D12:D15)</f>
        <v>5450</v>
      </c>
      <c r="E16" s="1">
        <f t="shared" ref="E16" si="19">SUM(E12:E15)</f>
        <v>4655</v>
      </c>
      <c r="F16" s="1">
        <f>SUM(F12:F15)</f>
        <v>30096</v>
      </c>
      <c r="H16" s="1" t="s">
        <v>15</v>
      </c>
      <c r="I16" s="1">
        <f>SUM(I12:I15)</f>
        <v>498</v>
      </c>
      <c r="J16" s="1">
        <f t="shared" ref="J16:L16" si="20">SUM(J12:J15)</f>
        <v>336</v>
      </c>
      <c r="K16" s="1">
        <f t="shared" si="20"/>
        <v>227</v>
      </c>
      <c r="L16" s="1">
        <f t="shared" si="20"/>
        <v>195</v>
      </c>
      <c r="M16" s="1">
        <f>SUM(M12:M15)</f>
        <v>1256</v>
      </c>
    </row>
    <row r="17" spans="1:13" ht="30" customHeight="1" x14ac:dyDescent="0.25">
      <c r="A17" s="2"/>
      <c r="B17" s="2"/>
      <c r="C17" s="2"/>
      <c r="D17" s="2"/>
      <c r="E17" s="2"/>
      <c r="F17" s="2"/>
    </row>
    <row r="18" spans="1:13" ht="30" customHeight="1" x14ac:dyDescent="0.25">
      <c r="A18" s="2"/>
      <c r="B18" s="2"/>
      <c r="C18" s="2"/>
      <c r="D18" s="2"/>
      <c r="E18" s="2"/>
      <c r="F18" s="2"/>
    </row>
    <row r="19" spans="1:13" ht="30" customHeight="1" x14ac:dyDescent="0.25">
      <c r="A19" s="2" t="s">
        <v>20</v>
      </c>
      <c r="H19" t="s">
        <v>23</v>
      </c>
      <c r="M19" s="1"/>
    </row>
    <row r="20" spans="1:13" ht="30" customHeight="1" x14ac:dyDescent="0.25">
      <c r="A20" t="s">
        <v>12</v>
      </c>
      <c r="B20" t="s">
        <v>13</v>
      </c>
      <c r="C20" t="s">
        <v>9</v>
      </c>
      <c r="D20" t="s">
        <v>8</v>
      </c>
      <c r="E20" t="s">
        <v>14</v>
      </c>
      <c r="F20" s="1" t="s">
        <v>15</v>
      </c>
      <c r="H20" t="s">
        <v>12</v>
      </c>
      <c r="I20" t="s">
        <v>13</v>
      </c>
      <c r="J20" t="s">
        <v>9</v>
      </c>
      <c r="K20" t="s">
        <v>8</v>
      </c>
      <c r="L20" t="s">
        <v>14</v>
      </c>
      <c r="M20" s="1" t="s">
        <v>15</v>
      </c>
    </row>
    <row r="21" spans="1:13" ht="30" customHeight="1" x14ac:dyDescent="0.25">
      <c r="A21" t="s">
        <v>13</v>
      </c>
      <c r="B21" s="5">
        <v>0</v>
      </c>
      <c r="C21" s="5">
        <v>1623</v>
      </c>
      <c r="D21" s="5">
        <v>974</v>
      </c>
      <c r="E21" s="5">
        <v>3246</v>
      </c>
      <c r="F21" s="1">
        <f>SUM(B21:E21)</f>
        <v>5843</v>
      </c>
      <c r="H21" t="s">
        <v>13</v>
      </c>
      <c r="I21" s="5">
        <f>ROUND(B21/24, 0)</f>
        <v>0</v>
      </c>
      <c r="J21" s="5">
        <f t="shared" ref="J21:J24" si="21">ROUND(C21/24, 0)</f>
        <v>68</v>
      </c>
      <c r="K21" s="5">
        <f t="shared" ref="K21:K24" si="22">ROUND(D21/24, 0)</f>
        <v>41</v>
      </c>
      <c r="L21" s="5">
        <f t="shared" ref="L21:L24" si="23">ROUND(E21/24, 0)</f>
        <v>135</v>
      </c>
      <c r="M21" s="1">
        <f>SUM(I21:L21)</f>
        <v>244</v>
      </c>
    </row>
    <row r="22" spans="1:13" ht="30" customHeight="1" x14ac:dyDescent="0.25">
      <c r="A22" t="s">
        <v>9</v>
      </c>
      <c r="B22" s="5">
        <v>1623</v>
      </c>
      <c r="C22" s="5">
        <v>0</v>
      </c>
      <c r="D22" s="5">
        <v>0</v>
      </c>
      <c r="E22" s="6">
        <v>6682</v>
      </c>
      <c r="F22" s="1">
        <f t="shared" ref="F22:F24" si="24">SUM(B22:E22)</f>
        <v>8305</v>
      </c>
      <c r="H22" t="s">
        <v>9</v>
      </c>
      <c r="I22" s="5">
        <f t="shared" ref="I22:I24" si="25">ROUND(B22/24, 0)</f>
        <v>68</v>
      </c>
      <c r="J22" s="5">
        <f t="shared" si="21"/>
        <v>0</v>
      </c>
      <c r="K22" s="5">
        <f t="shared" si="22"/>
        <v>0</v>
      </c>
      <c r="L22" s="6">
        <f t="shared" si="23"/>
        <v>278</v>
      </c>
      <c r="M22" s="1">
        <f t="shared" ref="M22:M24" si="26">SUM(I22:L22)</f>
        <v>346</v>
      </c>
    </row>
    <row r="23" spans="1:13" ht="30" customHeight="1" x14ac:dyDescent="0.25">
      <c r="A23" t="s">
        <v>8</v>
      </c>
      <c r="B23" s="5">
        <v>974</v>
      </c>
      <c r="C23" s="5">
        <v>0</v>
      </c>
      <c r="D23" s="5">
        <v>0</v>
      </c>
      <c r="E23" s="5">
        <v>6682</v>
      </c>
      <c r="F23" s="1">
        <f t="shared" si="24"/>
        <v>7656</v>
      </c>
      <c r="H23" t="s">
        <v>8</v>
      </c>
      <c r="I23" s="5">
        <f t="shared" si="25"/>
        <v>41</v>
      </c>
      <c r="J23" s="5">
        <f t="shared" si="21"/>
        <v>0</v>
      </c>
      <c r="K23" s="5">
        <f t="shared" si="22"/>
        <v>0</v>
      </c>
      <c r="L23" s="5">
        <f t="shared" si="23"/>
        <v>278</v>
      </c>
      <c r="M23" s="1">
        <f t="shared" si="26"/>
        <v>319</v>
      </c>
    </row>
    <row r="24" spans="1:13" ht="30" customHeight="1" x14ac:dyDescent="0.25">
      <c r="A24" t="s">
        <v>14</v>
      </c>
      <c r="B24" s="6">
        <v>3246</v>
      </c>
      <c r="C24" s="6">
        <v>6682</v>
      </c>
      <c r="D24" s="6">
        <v>6682</v>
      </c>
      <c r="E24" s="6">
        <v>0</v>
      </c>
      <c r="F24" s="1">
        <f t="shared" si="24"/>
        <v>16610</v>
      </c>
      <c r="H24" t="s">
        <v>14</v>
      </c>
      <c r="I24" s="6">
        <f t="shared" si="25"/>
        <v>135</v>
      </c>
      <c r="J24" s="6">
        <f t="shared" si="21"/>
        <v>278</v>
      </c>
      <c r="K24" s="6">
        <f t="shared" si="22"/>
        <v>278</v>
      </c>
      <c r="L24" s="6">
        <f t="shared" si="23"/>
        <v>0</v>
      </c>
      <c r="M24" s="1">
        <f t="shared" si="26"/>
        <v>691</v>
      </c>
    </row>
    <row r="25" spans="1:13" ht="30" customHeight="1" x14ac:dyDescent="0.25">
      <c r="A25" s="1" t="s">
        <v>15</v>
      </c>
      <c r="B25" s="1">
        <f>SUM(B21:B24)</f>
        <v>5843</v>
      </c>
      <c r="C25" s="1">
        <f t="shared" ref="C25" si="27">SUM(C21:C24)</f>
        <v>8305</v>
      </c>
      <c r="D25" s="1">
        <f t="shared" ref="D25" si="28">SUM(D21:D24)</f>
        <v>7656</v>
      </c>
      <c r="E25" s="1">
        <f t="shared" ref="E25" si="29">SUM(E21:E24)</f>
        <v>16610</v>
      </c>
      <c r="F25" s="1">
        <f>SUM(F21:F24)</f>
        <v>38414</v>
      </c>
      <c r="H25" s="1" t="s">
        <v>15</v>
      </c>
      <c r="I25" s="1">
        <f>SUM(I21:I24)</f>
        <v>244</v>
      </c>
      <c r="J25" s="1">
        <f t="shared" ref="J25:L25" si="30">SUM(J21:J24)</f>
        <v>346</v>
      </c>
      <c r="K25" s="1">
        <f t="shared" si="30"/>
        <v>319</v>
      </c>
      <c r="L25" s="1">
        <f t="shared" si="30"/>
        <v>691</v>
      </c>
      <c r="M25" s="1">
        <f>SUM(M21:M24)</f>
        <v>1600</v>
      </c>
    </row>
    <row r="26" spans="1:13" ht="30" customHeight="1" x14ac:dyDescent="0.25"/>
    <row r="27" spans="1:13" ht="30" customHeight="1" x14ac:dyDescent="0.25"/>
    <row r="28" spans="1:13" ht="30" customHeight="1" x14ac:dyDescent="0.25"/>
    <row r="29" spans="1:13" ht="30" customHeight="1" x14ac:dyDescent="0.25"/>
    <row r="30" spans="1:13" ht="30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2E77-34B0-D144-A8B5-CE56F776B31F}">
  <dimension ref="A1:M102"/>
  <sheetViews>
    <sheetView topLeftCell="F1" zoomScale="137" zoomScaleNormal="50" workbookViewId="0">
      <selection activeCell="D39" sqref="D39"/>
    </sheetView>
  </sheetViews>
  <sheetFormatPr baseColWidth="10" defaultColWidth="11.140625" defaultRowHeight="19" x14ac:dyDescent="0.25"/>
  <cols>
    <col min="1" max="4" width="20.7109375" customWidth="1"/>
    <col min="5" max="6" width="20.7109375" style="1" customWidth="1"/>
    <col min="7" max="24" width="20.7109375" customWidth="1"/>
  </cols>
  <sheetData>
    <row r="1" spans="1:11" ht="30" customHeight="1" x14ac:dyDescent="0.25">
      <c r="A1" t="s">
        <v>16</v>
      </c>
      <c r="F1"/>
      <c r="G1" t="s">
        <v>24</v>
      </c>
      <c r="K1" s="1"/>
    </row>
    <row r="2" spans="1:11" ht="30" customHeight="1" x14ac:dyDescent="0.25">
      <c r="A2" t="s">
        <v>12</v>
      </c>
      <c r="B2" t="s">
        <v>13</v>
      </c>
      <c r="C2" t="s">
        <v>8</v>
      </c>
      <c r="D2" t="s">
        <v>14</v>
      </c>
      <c r="E2" s="1" t="s">
        <v>15</v>
      </c>
      <c r="F2"/>
      <c r="G2" t="s">
        <v>12</v>
      </c>
      <c r="H2" t="s">
        <v>13</v>
      </c>
      <c r="I2" t="s">
        <v>8</v>
      </c>
      <c r="J2" t="s">
        <v>14</v>
      </c>
      <c r="K2" s="1" t="s">
        <v>15</v>
      </c>
    </row>
    <row r="3" spans="1:11" ht="30" customHeight="1" x14ac:dyDescent="0.25">
      <c r="A3" t="s">
        <v>13</v>
      </c>
      <c r="B3" s="5">
        <v>0</v>
      </c>
      <c r="C3" s="5">
        <v>1208</v>
      </c>
      <c r="D3" s="5">
        <v>50</v>
      </c>
      <c r="E3" s="1">
        <f>SUM(B3:D3)</f>
        <v>1258</v>
      </c>
      <c r="F3"/>
      <c r="G3" t="s">
        <v>13</v>
      </c>
      <c r="H3" s="5">
        <f>ROUND(B3/24, 0)</f>
        <v>0</v>
      </c>
      <c r="I3" s="5">
        <f t="shared" ref="I3:J3" si="0">ROUND(C3/24, 0)</f>
        <v>50</v>
      </c>
      <c r="J3" s="5">
        <f t="shared" si="0"/>
        <v>2</v>
      </c>
      <c r="K3" s="1">
        <f>SUM(H3:J3)</f>
        <v>52</v>
      </c>
    </row>
    <row r="4" spans="1:11" ht="30" customHeight="1" x14ac:dyDescent="0.25">
      <c r="A4" t="s">
        <v>8</v>
      </c>
      <c r="B4" s="5">
        <v>1208</v>
      </c>
      <c r="C4" s="5">
        <v>0</v>
      </c>
      <c r="D4" s="5">
        <v>29</v>
      </c>
      <c r="E4" s="1">
        <f t="shared" ref="E4:E6" si="1">SUM(B4:D4)</f>
        <v>1237</v>
      </c>
      <c r="F4"/>
      <c r="G4" t="s">
        <v>8</v>
      </c>
      <c r="H4" s="5">
        <f t="shared" ref="H4:H5" si="2">ROUND(B4/24, 0)</f>
        <v>50</v>
      </c>
      <c r="I4" s="5">
        <f t="shared" ref="I4:I5" si="3">ROUND(C4/24, 0)</f>
        <v>0</v>
      </c>
      <c r="J4" s="5">
        <f t="shared" ref="J4:J5" si="4">ROUND(D4/24, 0)</f>
        <v>1</v>
      </c>
      <c r="K4" s="1">
        <f t="shared" ref="K4:K6" si="5">SUM(H4:J4)</f>
        <v>51</v>
      </c>
    </row>
    <row r="5" spans="1:11" ht="30" customHeight="1" x14ac:dyDescent="0.25">
      <c r="A5" t="s">
        <v>14</v>
      </c>
      <c r="B5" s="5">
        <v>50</v>
      </c>
      <c r="C5" s="5">
        <v>29</v>
      </c>
      <c r="D5" s="5">
        <v>0</v>
      </c>
      <c r="E5" s="1">
        <f t="shared" si="1"/>
        <v>79</v>
      </c>
      <c r="F5"/>
      <c r="G5" t="s">
        <v>14</v>
      </c>
      <c r="H5" s="5">
        <f t="shared" si="2"/>
        <v>2</v>
      </c>
      <c r="I5" s="5">
        <f t="shared" si="3"/>
        <v>1</v>
      </c>
      <c r="J5" s="5">
        <f t="shared" si="4"/>
        <v>0</v>
      </c>
      <c r="K5" s="1">
        <f t="shared" si="5"/>
        <v>3</v>
      </c>
    </row>
    <row r="6" spans="1:11" s="1" customFormat="1" ht="30" customHeight="1" x14ac:dyDescent="0.25">
      <c r="A6" s="1" t="s">
        <v>15</v>
      </c>
      <c r="B6" s="1">
        <f>SUM(B3:B5)</f>
        <v>1258</v>
      </c>
      <c r="C6" s="1">
        <f t="shared" ref="C6:D6" si="6">SUM(C3:C5)</f>
        <v>1237</v>
      </c>
      <c r="D6" s="1">
        <f t="shared" si="6"/>
        <v>79</v>
      </c>
      <c r="E6" s="1">
        <f t="shared" si="1"/>
        <v>2574</v>
      </c>
      <c r="G6" s="1" t="s">
        <v>15</v>
      </c>
      <c r="H6" s="1">
        <f>SUM(H3:H5)</f>
        <v>52</v>
      </c>
      <c r="I6" s="1">
        <f t="shared" ref="I6" si="7">SUM(I3:I5)</f>
        <v>51</v>
      </c>
      <c r="J6" s="1">
        <f t="shared" ref="J6" si="8">SUM(J3:J5)</f>
        <v>3</v>
      </c>
      <c r="K6" s="1">
        <f t="shared" si="5"/>
        <v>106</v>
      </c>
    </row>
    <row r="7" spans="1:11" ht="30" customHeight="1" x14ac:dyDescent="0.25">
      <c r="F7"/>
      <c r="K7" s="1"/>
    </row>
    <row r="8" spans="1:11" ht="30" customHeight="1" x14ac:dyDescent="0.25">
      <c r="F8"/>
      <c r="K8" s="1"/>
    </row>
    <row r="9" spans="1:11" ht="30" customHeight="1" x14ac:dyDescent="0.25">
      <c r="A9" t="s">
        <v>17</v>
      </c>
      <c r="F9"/>
      <c r="G9" t="s">
        <v>25</v>
      </c>
      <c r="K9" s="1"/>
    </row>
    <row r="10" spans="1:11" ht="30" customHeight="1" x14ac:dyDescent="0.25">
      <c r="A10" t="s">
        <v>12</v>
      </c>
      <c r="B10" t="s">
        <v>13</v>
      </c>
      <c r="C10" t="s">
        <v>8</v>
      </c>
      <c r="D10" t="s">
        <v>14</v>
      </c>
      <c r="E10" s="1" t="s">
        <v>15</v>
      </c>
      <c r="F10"/>
      <c r="G10" t="s">
        <v>12</v>
      </c>
      <c r="H10" t="s">
        <v>13</v>
      </c>
      <c r="I10" t="s">
        <v>8</v>
      </c>
      <c r="J10" t="s">
        <v>14</v>
      </c>
      <c r="K10" s="1" t="s">
        <v>15</v>
      </c>
    </row>
    <row r="11" spans="1:11" ht="30" customHeight="1" x14ac:dyDescent="0.25">
      <c r="A11" t="s">
        <v>13</v>
      </c>
      <c r="B11" s="5">
        <v>0</v>
      </c>
      <c r="C11" s="5">
        <v>4929</v>
      </c>
      <c r="D11" s="5">
        <v>1500</v>
      </c>
      <c r="E11" s="1">
        <f>SUM(B11:D11)</f>
        <v>6429</v>
      </c>
      <c r="F11"/>
      <c r="G11" t="s">
        <v>13</v>
      </c>
      <c r="H11" s="5">
        <f>ROUND(B11/24, 0)</f>
        <v>0</v>
      </c>
      <c r="I11" s="5">
        <f t="shared" ref="I11:I13" si="9">ROUND(C11/24, 0)</f>
        <v>205</v>
      </c>
      <c r="J11" s="5">
        <f t="shared" ref="J11:J13" si="10">ROUND(D11/24, 0)</f>
        <v>63</v>
      </c>
      <c r="K11" s="1">
        <f>SUM(H11:J11)</f>
        <v>268</v>
      </c>
    </row>
    <row r="12" spans="1:11" ht="30" customHeight="1" x14ac:dyDescent="0.25">
      <c r="A12" t="s">
        <v>8</v>
      </c>
      <c r="B12" s="5">
        <v>4929</v>
      </c>
      <c r="C12" s="5">
        <v>0</v>
      </c>
      <c r="D12" s="5">
        <v>1540</v>
      </c>
      <c r="E12" s="1">
        <f t="shared" ref="E12:E14" si="11">SUM(B12:D12)</f>
        <v>6469</v>
      </c>
      <c r="F12"/>
      <c r="G12" t="s">
        <v>8</v>
      </c>
      <c r="H12" s="5">
        <f t="shared" ref="H12:H13" si="12">ROUND(B12/24, 0)</f>
        <v>205</v>
      </c>
      <c r="I12" s="5">
        <f t="shared" si="9"/>
        <v>0</v>
      </c>
      <c r="J12" s="5">
        <f t="shared" si="10"/>
        <v>64</v>
      </c>
      <c r="K12" s="1">
        <f t="shared" ref="K12:K14" si="13">SUM(H12:J12)</f>
        <v>269</v>
      </c>
    </row>
    <row r="13" spans="1:11" ht="30" customHeight="1" x14ac:dyDescent="0.25">
      <c r="A13" t="s">
        <v>14</v>
      </c>
      <c r="B13" s="5">
        <v>1500</v>
      </c>
      <c r="C13" s="5">
        <v>1540</v>
      </c>
      <c r="D13" s="5">
        <v>0</v>
      </c>
      <c r="E13" s="1">
        <f t="shared" si="11"/>
        <v>3040</v>
      </c>
      <c r="F13"/>
      <c r="G13" t="s">
        <v>14</v>
      </c>
      <c r="H13" s="5">
        <f t="shared" si="12"/>
        <v>63</v>
      </c>
      <c r="I13" s="5">
        <f t="shared" si="9"/>
        <v>64</v>
      </c>
      <c r="J13" s="5">
        <f t="shared" si="10"/>
        <v>0</v>
      </c>
      <c r="K13" s="1">
        <f t="shared" si="13"/>
        <v>127</v>
      </c>
    </row>
    <row r="14" spans="1:11" s="1" customFormat="1" ht="30" customHeight="1" x14ac:dyDescent="0.25">
      <c r="A14" s="1" t="s">
        <v>15</v>
      </c>
      <c r="B14" s="1">
        <f>SUM(B11:B13)</f>
        <v>6429</v>
      </c>
      <c r="C14" s="1">
        <f t="shared" ref="C14" si="14">SUM(C11:C13)</f>
        <v>6469</v>
      </c>
      <c r="D14" s="1">
        <f t="shared" ref="D14" si="15">SUM(D11:D13)</f>
        <v>3040</v>
      </c>
      <c r="E14" s="1">
        <f t="shared" si="11"/>
        <v>15938</v>
      </c>
      <c r="G14" s="1" t="s">
        <v>15</v>
      </c>
      <c r="H14" s="1">
        <f>SUM(H11:H13)</f>
        <v>268</v>
      </c>
      <c r="I14" s="1">
        <f t="shared" ref="I14" si="16">SUM(I11:I13)</f>
        <v>269</v>
      </c>
      <c r="J14" s="1">
        <f t="shared" ref="J14" si="17">SUM(J11:J13)</f>
        <v>127</v>
      </c>
      <c r="K14" s="1">
        <f t="shared" si="13"/>
        <v>664</v>
      </c>
    </row>
    <row r="15" spans="1:11" ht="30" customHeight="1" x14ac:dyDescent="0.25">
      <c r="F15"/>
      <c r="K15" s="1"/>
    </row>
    <row r="16" spans="1:11" ht="30" customHeight="1" x14ac:dyDescent="0.25">
      <c r="F16"/>
      <c r="K16" s="1"/>
    </row>
    <row r="17" spans="1:13" ht="30" customHeight="1" x14ac:dyDescent="0.25">
      <c r="A17" t="s">
        <v>18</v>
      </c>
      <c r="F17"/>
      <c r="G17" t="s">
        <v>21</v>
      </c>
      <c r="K17" s="1"/>
    </row>
    <row r="18" spans="1:13" ht="30" customHeight="1" x14ac:dyDescent="0.25">
      <c r="A18" t="s">
        <v>12</v>
      </c>
      <c r="B18" t="s">
        <v>13</v>
      </c>
      <c r="C18" t="s">
        <v>8</v>
      </c>
      <c r="D18" t="s">
        <v>14</v>
      </c>
      <c r="E18" s="1" t="s">
        <v>15</v>
      </c>
      <c r="F18"/>
      <c r="G18" t="s">
        <v>12</v>
      </c>
      <c r="H18" t="s">
        <v>13</v>
      </c>
      <c r="I18" t="s">
        <v>8</v>
      </c>
      <c r="J18" t="s">
        <v>14</v>
      </c>
      <c r="K18" s="1" t="s">
        <v>15</v>
      </c>
    </row>
    <row r="19" spans="1:13" ht="30" customHeight="1" x14ac:dyDescent="0.25">
      <c r="A19" t="s">
        <v>13</v>
      </c>
      <c r="B19" s="5">
        <v>0</v>
      </c>
      <c r="C19" s="5">
        <v>2856</v>
      </c>
      <c r="D19" s="5">
        <v>750</v>
      </c>
      <c r="E19" s="1">
        <f>SUM(B19:D19)</f>
        <v>3606</v>
      </c>
      <c r="F19"/>
      <c r="G19" t="s">
        <v>13</v>
      </c>
      <c r="H19" s="5">
        <f>ROUND(B19/24, 0)</f>
        <v>0</v>
      </c>
      <c r="I19" s="5">
        <f t="shared" ref="I19:I21" si="18">ROUND(C19/24, 0)</f>
        <v>119</v>
      </c>
      <c r="J19" s="5">
        <f t="shared" ref="J19:J21" si="19">ROUND(D19/24, 0)</f>
        <v>31</v>
      </c>
      <c r="K19" s="1">
        <f>SUM(H19:J19)</f>
        <v>150</v>
      </c>
    </row>
    <row r="20" spans="1:13" ht="30" customHeight="1" x14ac:dyDescent="0.25">
      <c r="A20" t="s">
        <v>8</v>
      </c>
      <c r="B20" s="5">
        <v>2856</v>
      </c>
      <c r="C20" s="5">
        <v>0</v>
      </c>
      <c r="D20" s="5">
        <v>1292</v>
      </c>
      <c r="E20" s="1">
        <f t="shared" ref="E20:E22" si="20">SUM(B20:D20)</f>
        <v>4148</v>
      </c>
      <c r="F20"/>
      <c r="G20" t="s">
        <v>8</v>
      </c>
      <c r="H20" s="5">
        <f t="shared" ref="H20:H21" si="21">ROUND(B20/24, 0)</f>
        <v>119</v>
      </c>
      <c r="I20" s="5">
        <f t="shared" si="18"/>
        <v>0</v>
      </c>
      <c r="J20" s="5">
        <f t="shared" si="19"/>
        <v>54</v>
      </c>
      <c r="K20" s="1">
        <f t="shared" ref="K20:K22" si="22">SUM(H20:J20)</f>
        <v>173</v>
      </c>
    </row>
    <row r="21" spans="1:13" ht="30" customHeight="1" x14ac:dyDescent="0.25">
      <c r="A21" t="s">
        <v>14</v>
      </c>
      <c r="B21" s="5">
        <v>750</v>
      </c>
      <c r="C21" s="5">
        <v>1292</v>
      </c>
      <c r="D21" s="5">
        <v>0</v>
      </c>
      <c r="E21" s="1">
        <f t="shared" si="20"/>
        <v>2042</v>
      </c>
      <c r="F21"/>
      <c r="G21" t="s">
        <v>14</v>
      </c>
      <c r="H21" s="5">
        <f t="shared" si="21"/>
        <v>31</v>
      </c>
      <c r="I21" s="5">
        <f t="shared" si="18"/>
        <v>54</v>
      </c>
      <c r="J21" s="5">
        <f t="shared" si="19"/>
        <v>0</v>
      </c>
      <c r="K21" s="1">
        <f t="shared" si="22"/>
        <v>85</v>
      </c>
    </row>
    <row r="22" spans="1:13" s="1" customFormat="1" ht="30" customHeight="1" x14ac:dyDescent="0.25">
      <c r="A22" s="1" t="s">
        <v>15</v>
      </c>
      <c r="B22" s="1">
        <f>SUM(B19:B21)</f>
        <v>3606</v>
      </c>
      <c r="C22" s="1">
        <f t="shared" ref="C22" si="23">SUM(C19:C21)</f>
        <v>4148</v>
      </c>
      <c r="D22" s="1">
        <f t="shared" ref="D22" si="24">SUM(D19:D21)</f>
        <v>2042</v>
      </c>
      <c r="E22" s="1">
        <f t="shared" si="20"/>
        <v>9796</v>
      </c>
      <c r="G22" s="1" t="s">
        <v>15</v>
      </c>
      <c r="H22" s="1">
        <f>SUM(H19:H21)</f>
        <v>150</v>
      </c>
      <c r="I22" s="1">
        <f t="shared" ref="I22" si="25">SUM(I19:I21)</f>
        <v>173</v>
      </c>
      <c r="J22" s="1">
        <f t="shared" ref="J22" si="26">SUM(J19:J21)</f>
        <v>85</v>
      </c>
      <c r="K22" s="1">
        <f t="shared" si="22"/>
        <v>408</v>
      </c>
    </row>
    <row r="23" spans="1:13" ht="30" customHeight="1" x14ac:dyDescent="0.25">
      <c r="F23"/>
      <c r="K23" s="1"/>
    </row>
    <row r="24" spans="1:13" ht="30" customHeight="1" x14ac:dyDescent="0.25">
      <c r="F24"/>
      <c r="K24" s="1"/>
    </row>
    <row r="25" spans="1:13" ht="30" customHeight="1" x14ac:dyDescent="0.25">
      <c r="A25" s="2" t="s">
        <v>19</v>
      </c>
      <c r="B25" s="1"/>
      <c r="C25" s="1"/>
      <c r="D25" s="1"/>
      <c r="G25" s="2" t="s">
        <v>22</v>
      </c>
      <c r="H25" s="1"/>
      <c r="I25" s="1"/>
      <c r="J25" s="1"/>
      <c r="K25" s="1"/>
      <c r="L25" s="1"/>
      <c r="M25" s="1"/>
    </row>
    <row r="26" spans="1:13" ht="30" customHeight="1" x14ac:dyDescent="0.25">
      <c r="A26" t="s">
        <v>12</v>
      </c>
      <c r="B26" t="s">
        <v>13</v>
      </c>
      <c r="C26" t="s">
        <v>8</v>
      </c>
      <c r="D26" t="s">
        <v>14</v>
      </c>
      <c r="E26" s="1" t="s">
        <v>15</v>
      </c>
      <c r="G26" t="s">
        <v>12</v>
      </c>
      <c r="H26" t="s">
        <v>13</v>
      </c>
      <c r="I26" t="s">
        <v>8</v>
      </c>
      <c r="J26" t="s">
        <v>14</v>
      </c>
      <c r="K26" s="1" t="s">
        <v>15</v>
      </c>
    </row>
    <row r="27" spans="1:13" ht="30" customHeight="1" x14ac:dyDescent="0.25">
      <c r="A27" t="s">
        <v>13</v>
      </c>
      <c r="B27" s="5">
        <v>0</v>
      </c>
      <c r="C27" s="5">
        <v>870</v>
      </c>
      <c r="D27" s="5">
        <v>500</v>
      </c>
      <c r="E27" s="1">
        <f>SUM(B27:D27)</f>
        <v>1370</v>
      </c>
      <c r="G27" t="s">
        <v>13</v>
      </c>
      <c r="H27" s="5">
        <f>ROUND(B27/24, 0)</f>
        <v>0</v>
      </c>
      <c r="I27" s="5">
        <f t="shared" ref="I27:I29" si="27">ROUND(C27/24, 0)</f>
        <v>36</v>
      </c>
      <c r="J27" s="5">
        <f t="shared" ref="J27:J29" si="28">ROUND(D27/24, 0)</f>
        <v>21</v>
      </c>
      <c r="K27" s="1">
        <f>SUM(H27:J27)</f>
        <v>57</v>
      </c>
    </row>
    <row r="28" spans="1:13" ht="30" customHeight="1" x14ac:dyDescent="0.25">
      <c r="A28" t="s">
        <v>8</v>
      </c>
      <c r="B28" s="5">
        <v>870</v>
      </c>
      <c r="C28" s="5">
        <v>0</v>
      </c>
      <c r="D28" s="5">
        <v>1058</v>
      </c>
      <c r="E28" s="1">
        <f t="shared" ref="E28:E30" si="29">SUM(B28:D28)</f>
        <v>1928</v>
      </c>
      <c r="G28" t="s">
        <v>8</v>
      </c>
      <c r="H28" s="5">
        <f t="shared" ref="H28:H29" si="30">ROUND(B28/24, 0)</f>
        <v>36</v>
      </c>
      <c r="I28" s="5">
        <f t="shared" si="27"/>
        <v>0</v>
      </c>
      <c r="J28" s="5">
        <f t="shared" si="28"/>
        <v>44</v>
      </c>
      <c r="K28" s="1">
        <f t="shared" ref="K28:K30" si="31">SUM(H28:J28)</f>
        <v>80</v>
      </c>
    </row>
    <row r="29" spans="1:13" ht="30" customHeight="1" x14ac:dyDescent="0.25">
      <c r="A29" t="s">
        <v>14</v>
      </c>
      <c r="B29" s="5">
        <v>500</v>
      </c>
      <c r="C29" s="5">
        <v>1058</v>
      </c>
      <c r="D29" s="5">
        <v>0</v>
      </c>
      <c r="E29" s="1">
        <f t="shared" si="29"/>
        <v>1558</v>
      </c>
      <c r="G29" t="s">
        <v>14</v>
      </c>
      <c r="H29" s="5">
        <f t="shared" si="30"/>
        <v>21</v>
      </c>
      <c r="I29" s="5">
        <f t="shared" si="27"/>
        <v>44</v>
      </c>
      <c r="J29" s="5">
        <f t="shared" si="28"/>
        <v>0</v>
      </c>
      <c r="K29" s="1">
        <f t="shared" si="31"/>
        <v>65</v>
      </c>
    </row>
    <row r="30" spans="1:13" s="1" customFormat="1" ht="30" customHeight="1" x14ac:dyDescent="0.25">
      <c r="A30" s="1" t="s">
        <v>15</v>
      </c>
      <c r="B30" s="1">
        <f>SUM(B27:B29)</f>
        <v>1370</v>
      </c>
      <c r="C30" s="1">
        <f t="shared" ref="C30" si="32">SUM(C27:C29)</f>
        <v>1928</v>
      </c>
      <c r="D30" s="1">
        <f t="shared" ref="D30" si="33">SUM(D27:D29)</f>
        <v>1558</v>
      </c>
      <c r="E30" s="1">
        <f t="shared" si="29"/>
        <v>4856</v>
      </c>
      <c r="G30" s="1" t="s">
        <v>15</v>
      </c>
      <c r="H30" s="1">
        <f>SUM(H27:H29)</f>
        <v>57</v>
      </c>
      <c r="I30" s="1">
        <f t="shared" ref="I30" si="34">SUM(I27:I29)</f>
        <v>80</v>
      </c>
      <c r="J30" s="1">
        <f t="shared" ref="J30" si="35">SUM(J27:J29)</f>
        <v>65</v>
      </c>
      <c r="K30" s="1">
        <f t="shared" si="31"/>
        <v>202</v>
      </c>
    </row>
    <row r="31" spans="1:13" ht="30" customHeight="1" x14ac:dyDescent="0.25">
      <c r="K31" s="1"/>
    </row>
    <row r="32" spans="1:13" ht="30" customHeight="1" x14ac:dyDescent="0.25">
      <c r="K32" s="1"/>
    </row>
    <row r="33" spans="1:11" ht="30" customHeight="1" x14ac:dyDescent="0.25">
      <c r="A33" t="s">
        <v>20</v>
      </c>
      <c r="G33" t="s">
        <v>23</v>
      </c>
      <c r="K33" s="1"/>
    </row>
    <row r="34" spans="1:11" ht="30" customHeight="1" x14ac:dyDescent="0.25">
      <c r="A34" t="s">
        <v>12</v>
      </c>
      <c r="B34" t="s">
        <v>13</v>
      </c>
      <c r="C34" t="s">
        <v>8</v>
      </c>
      <c r="D34" t="s">
        <v>14</v>
      </c>
      <c r="E34" s="1" t="s">
        <v>15</v>
      </c>
      <c r="G34" t="s">
        <v>12</v>
      </c>
      <c r="H34" t="s">
        <v>13</v>
      </c>
      <c r="I34" t="s">
        <v>8</v>
      </c>
      <c r="J34" t="s">
        <v>14</v>
      </c>
      <c r="K34" s="1" t="s">
        <v>15</v>
      </c>
    </row>
    <row r="35" spans="1:11" ht="30" customHeight="1" x14ac:dyDescent="0.25">
      <c r="A35" t="s">
        <v>13</v>
      </c>
      <c r="B35" s="5">
        <v>0</v>
      </c>
      <c r="C35" s="5">
        <v>1132</v>
      </c>
      <c r="D35" s="5">
        <v>1000</v>
      </c>
      <c r="E35" s="1">
        <f>SUM(B35:D35)</f>
        <v>2132</v>
      </c>
      <c r="G35" t="s">
        <v>13</v>
      </c>
      <c r="H35" s="5">
        <f>ROUND(B35/24, 0)</f>
        <v>0</v>
      </c>
      <c r="I35" s="5">
        <f t="shared" ref="I35:I37" si="36">ROUND(C35/24, 0)</f>
        <v>47</v>
      </c>
      <c r="J35" s="5">
        <f t="shared" ref="J35:J37" si="37">ROUND(D35/24, 0)</f>
        <v>42</v>
      </c>
      <c r="K35" s="1">
        <f>SUM(H35:J35)</f>
        <v>89</v>
      </c>
    </row>
    <row r="36" spans="1:11" ht="30" customHeight="1" x14ac:dyDescent="0.25">
      <c r="A36" t="s">
        <v>8</v>
      </c>
      <c r="B36" s="5">
        <v>1132</v>
      </c>
      <c r="C36" s="5">
        <v>0</v>
      </c>
      <c r="D36" s="5">
        <v>6382</v>
      </c>
      <c r="E36" s="1">
        <f t="shared" ref="E36:E38" si="38">SUM(B36:D36)</f>
        <v>7514</v>
      </c>
      <c r="G36" t="s">
        <v>8</v>
      </c>
      <c r="H36" s="5">
        <f t="shared" ref="H36:H37" si="39">ROUND(B36/24, 0)</f>
        <v>47</v>
      </c>
      <c r="I36" s="5">
        <f t="shared" si="36"/>
        <v>0</v>
      </c>
      <c r="J36" s="5">
        <f t="shared" si="37"/>
        <v>266</v>
      </c>
      <c r="K36" s="1">
        <f t="shared" ref="K36:K38" si="40">SUM(H36:J36)</f>
        <v>313</v>
      </c>
    </row>
    <row r="37" spans="1:11" ht="30" customHeight="1" x14ac:dyDescent="0.25">
      <c r="A37" t="s">
        <v>14</v>
      </c>
      <c r="B37" s="5">
        <v>1000</v>
      </c>
      <c r="C37" s="5">
        <v>6382</v>
      </c>
      <c r="D37" s="5">
        <v>0</v>
      </c>
      <c r="E37" s="1">
        <f t="shared" si="38"/>
        <v>7382</v>
      </c>
      <c r="G37" t="s">
        <v>14</v>
      </c>
      <c r="H37" s="5">
        <f t="shared" si="39"/>
        <v>42</v>
      </c>
      <c r="I37" s="5">
        <f t="shared" si="36"/>
        <v>266</v>
      </c>
      <c r="J37" s="5">
        <f t="shared" si="37"/>
        <v>0</v>
      </c>
      <c r="K37" s="1">
        <f t="shared" si="40"/>
        <v>308</v>
      </c>
    </row>
    <row r="38" spans="1:11" s="1" customFormat="1" ht="30" customHeight="1" x14ac:dyDescent="0.25">
      <c r="A38" s="1" t="s">
        <v>15</v>
      </c>
      <c r="B38" s="1">
        <f>SUM(B35:B37)</f>
        <v>2132</v>
      </c>
      <c r="C38" s="1">
        <f t="shared" ref="C38" si="41">SUM(C35:C37)</f>
        <v>7514</v>
      </c>
      <c r="D38" s="1">
        <f t="shared" ref="D38" si="42">SUM(D35:D37)</f>
        <v>7382</v>
      </c>
      <c r="E38" s="1">
        <f t="shared" si="38"/>
        <v>17028</v>
      </c>
      <c r="G38" s="1" t="s">
        <v>15</v>
      </c>
      <c r="H38" s="1">
        <f>SUM(H35:H37)</f>
        <v>89</v>
      </c>
      <c r="I38" s="1">
        <f t="shared" ref="I38" si="43">SUM(I35:I37)</f>
        <v>313</v>
      </c>
      <c r="J38" s="1">
        <f t="shared" ref="J38" si="44">SUM(J35:J37)</f>
        <v>308</v>
      </c>
      <c r="K38" s="1">
        <f t="shared" si="40"/>
        <v>710</v>
      </c>
    </row>
    <row r="39" spans="1:11" ht="30" customHeight="1" x14ac:dyDescent="0.25"/>
    <row r="40" spans="1:11" ht="30" customHeight="1" x14ac:dyDescent="0.25"/>
    <row r="41" spans="1:11" ht="30" customHeight="1" x14ac:dyDescent="0.25"/>
    <row r="42" spans="1:11" ht="30" customHeight="1" x14ac:dyDescent="0.25"/>
    <row r="43" spans="1:11" ht="30" customHeight="1" x14ac:dyDescent="0.25"/>
    <row r="44" spans="1:11" ht="30" customHeight="1" x14ac:dyDescent="0.25"/>
    <row r="45" spans="1:11" ht="30" customHeight="1" x14ac:dyDescent="0.25"/>
    <row r="46" spans="1:11" ht="30" customHeight="1" x14ac:dyDescent="0.25"/>
    <row r="47" spans="1:11" ht="30" customHeight="1" x14ac:dyDescent="0.25"/>
    <row r="48" spans="1:11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33BBDE13E9C4A9212DC4C67004171" ma:contentTypeVersion="11" ma:contentTypeDescription="Create a new document." ma:contentTypeScope="" ma:versionID="d83248a3bb1af0bb60612106087db6a6">
  <xsd:schema xmlns:xsd="http://www.w3.org/2001/XMLSchema" xmlns:xs="http://www.w3.org/2001/XMLSchema" xmlns:p="http://schemas.microsoft.com/office/2006/metadata/properties" xmlns:ns2="9f5b1315-03f7-489c-9730-a5d23c77926f" xmlns:ns3="8b508ef6-ada4-413e-b66b-122621764fe8" targetNamespace="http://schemas.microsoft.com/office/2006/metadata/properties" ma:root="true" ma:fieldsID="690e33bc3ed7cb4ee1183f55de2ca08b" ns2:_="" ns3:_="">
    <xsd:import namespace="9f5b1315-03f7-489c-9730-a5d23c77926f"/>
    <xsd:import namespace="8b508ef6-ada4-413e-b66b-122621764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b1315-03f7-489c-9730-a5d23c779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08ef6-ada4-413e-b66b-122621764f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8ad4b6-64c9-4e82-b823-5c1efcfaa85d}" ma:internalName="TaxCatchAll" ma:showField="CatchAllData" ma:web="8b508ef6-ada4-413e-b66b-122621764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508ef6-ada4-413e-b66b-122621764fe8" xsi:nil="true"/>
    <lcf76f155ced4ddcb4097134ff3c332f xmlns="9f5b1315-03f7-489c-9730-a5d23c779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78BF55-90B8-49C4-AD07-D41681D89A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F9B42F-D58E-491B-B94D-562DA6331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5b1315-03f7-489c-9730-a5d23c77926f"/>
    <ds:schemaRef ds:uri="8b508ef6-ada4-413e-b66b-122621764f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63430B-C42C-4DC6-989A-770F25E5D245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8b508ef6-ada4-413e-b66b-122621764fe8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f5b1315-03f7-489c-9730-a5d23c77926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Freight</vt:lpstr>
      <vt:lpstr>Local Traffic</vt:lpstr>
      <vt:lpstr>Baseline 2022 Traffic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Schwarz, Kilian X</dc:creator>
  <cp:keywords/>
  <dc:description/>
  <cp:lastModifiedBy>Schwarz, Kilian X</cp:lastModifiedBy>
  <cp:revision/>
  <dcterms:created xsi:type="dcterms:W3CDTF">2026-06-01T14:13:26Z</dcterms:created>
  <dcterms:modified xsi:type="dcterms:W3CDTF">2026-06-08T09:35:46Z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0x010100C8733BBDE13E9C4A9212DC4C67004171</vt:lpwstr>
  </property>
  <property fmtid="{D5CDD505-2E9C-101B-9397-08002B2CF9AE}" pid="3" name="MediaServiceImageTags">
    <vt:lpwstr/>
  </property>
</Properties>
</file>